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Desktop\"/>
    </mc:Choice>
  </mc:AlternateContent>
  <bookViews>
    <workbookView xWindow="0" yWindow="0" windowWidth="28800" windowHeight="12180" tabRatio="850" activeTab="6"/>
  </bookViews>
  <sheets>
    <sheet name="1. 만족도" sheetId="5" r:id="rId1"/>
    <sheet name="응답자 특성" sheetId="14" r:id="rId2"/>
    <sheet name="객관식" sheetId="8" r:id="rId3"/>
    <sheet name="주관식(좋았던 점 및 개선할점)" sheetId="4" r:id="rId4"/>
    <sheet name="2. 출석률 " sheetId="10" r:id="rId5"/>
    <sheet name="개인별 출석현황" sheetId="16" r:id="rId6"/>
    <sheet name="3. 원본데이터" sheetId="13" r:id="rId7"/>
  </sheets>
  <definedNames>
    <definedName name="_xlnm._FilterDatabase" localSheetId="0" hidden="1">#REF!</definedName>
    <definedName name="_xlnm._FilterDatabase" localSheetId="3" hidden="1">'주관식(좋았던 점 및 개선할점)'!$B$3:$D$86</definedName>
  </definedNames>
  <calcPr calcId="191029"/>
</workbook>
</file>

<file path=xl/calcChain.xml><?xml version="1.0" encoding="utf-8"?>
<calcChain xmlns="http://schemas.openxmlformats.org/spreadsheetml/2006/main">
  <c r="H16" i="5" l="1"/>
  <c r="H17" i="5"/>
  <c r="G16" i="5"/>
  <c r="G17" i="5"/>
  <c r="G20" i="10" l="1"/>
  <c r="G19" i="10"/>
  <c r="G18" i="10"/>
  <c r="G17" i="10"/>
  <c r="G16" i="10"/>
  <c r="G15" i="10"/>
  <c r="G14" i="10"/>
  <c r="G13" i="10"/>
  <c r="G12" i="10"/>
  <c r="G11" i="10"/>
  <c r="G10" i="10"/>
  <c r="H9" i="10"/>
  <c r="H4" i="10" s="1"/>
  <c r="G9" i="10"/>
  <c r="G8" i="10"/>
  <c r="G7" i="10"/>
  <c r="G6" i="10"/>
  <c r="G5" i="10"/>
  <c r="F4" i="10"/>
  <c r="G4" i="10" l="1"/>
  <c r="E4" i="10"/>
  <c r="H20" i="10" l="1"/>
  <c r="I20" i="10"/>
  <c r="H19" i="10"/>
  <c r="H18" i="10"/>
  <c r="H17" i="10"/>
  <c r="H16" i="10"/>
  <c r="H15" i="10"/>
  <c r="H14" i="10"/>
  <c r="H13" i="10"/>
  <c r="H12" i="10"/>
  <c r="H11" i="10"/>
  <c r="H10" i="10"/>
  <c r="H8" i="10"/>
  <c r="H7" i="10"/>
  <c r="H6" i="10"/>
  <c r="H5" i="10"/>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46" i="16"/>
  <c r="J147" i="16"/>
  <c r="J148" i="16"/>
  <c r="J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J177" i="16"/>
  <c r="J178" i="16"/>
  <c r="J179" i="16"/>
  <c r="J180" i="16"/>
  <c r="J181" i="16"/>
  <c r="J182" i="16"/>
  <c r="J183" i="16"/>
  <c r="J184" i="16"/>
  <c r="J185" i="16"/>
  <c r="J186" i="16"/>
  <c r="J187" i="16"/>
  <c r="J188" i="16"/>
  <c r="J189" i="16"/>
  <c r="J190" i="16"/>
  <c r="J191" i="16"/>
  <c r="J192" i="16"/>
  <c r="J193" i="16"/>
  <c r="J194" i="16"/>
  <c r="J195" i="16"/>
  <c r="J196" i="16"/>
  <c r="J197" i="16"/>
  <c r="J198" i="16"/>
  <c r="J199" i="16"/>
  <c r="J200" i="16"/>
  <c r="J201" i="16"/>
  <c r="J202" i="16"/>
  <c r="J203" i="16"/>
  <c r="J204" i="16"/>
  <c r="J205" i="16"/>
  <c r="J206" i="16"/>
  <c r="J207" i="16"/>
  <c r="J208" i="16"/>
  <c r="J209" i="16"/>
  <c r="J210" i="16"/>
  <c r="J211" i="16"/>
  <c r="J212" i="16"/>
  <c r="J213" i="16"/>
  <c r="J214" i="16"/>
  <c r="J215" i="16"/>
  <c r="J216" i="16"/>
  <c r="J217" i="16"/>
  <c r="J218" i="16"/>
  <c r="J219" i="16"/>
  <c r="J220" i="16"/>
  <c r="J221" i="16"/>
  <c r="J222" i="16"/>
  <c r="J223" i="16"/>
  <c r="J224" i="16"/>
  <c r="J225" i="16"/>
  <c r="J226" i="16"/>
  <c r="J227" i="16"/>
  <c r="J228" i="16"/>
  <c r="J229" i="16"/>
  <c r="J230" i="16"/>
  <c r="J231" i="16"/>
  <c r="J232" i="16"/>
  <c r="J233" i="16"/>
  <c r="J234" i="16"/>
  <c r="J235" i="16"/>
  <c r="J236" i="16"/>
  <c r="J237" i="16"/>
  <c r="J238" i="16"/>
  <c r="J239" i="16"/>
  <c r="J240" i="16"/>
  <c r="J241" i="16"/>
  <c r="J242" i="16"/>
  <c r="J243" i="16"/>
  <c r="J244" i="16"/>
  <c r="J245" i="16"/>
  <c r="J246" i="16"/>
  <c r="J247" i="16"/>
  <c r="J248" i="16"/>
  <c r="J249" i="16"/>
  <c r="J250" i="16"/>
  <c r="J251" i="16"/>
  <c r="J252" i="16"/>
  <c r="J253" i="16"/>
  <c r="J254" i="16"/>
  <c r="J255" i="16"/>
  <c r="J256" i="16"/>
  <c r="J257" i="16"/>
  <c r="J258" i="16"/>
  <c r="J259" i="16"/>
  <c r="J260" i="16"/>
  <c r="J261" i="16"/>
  <c r="J262" i="16"/>
  <c r="J263" i="16"/>
  <c r="J264" i="16"/>
  <c r="J265" i="16"/>
  <c r="J266" i="16"/>
  <c r="J267" i="16"/>
  <c r="J268" i="16"/>
  <c r="J269" i="16"/>
  <c r="J17" i="16"/>
  <c r="J15" i="16"/>
  <c r="J16" i="16"/>
  <c r="I266" i="16" l="1"/>
  <c r="I267" i="16"/>
  <c r="I268" i="16"/>
  <c r="I269" i="16"/>
  <c r="BE21" i="8"/>
  <c r="AY21" i="8"/>
  <c r="AS21" i="8"/>
  <c r="AM21" i="8"/>
  <c r="AG21" i="8"/>
  <c r="AA21" i="8"/>
  <c r="U21" i="8"/>
  <c r="O21" i="8"/>
  <c r="I21" i="8"/>
  <c r="AK21" i="14"/>
  <c r="AD21" i="14"/>
  <c r="V21" i="14"/>
  <c r="F21" i="14"/>
  <c r="H5" i="5" l="1"/>
  <c r="H7" i="5"/>
  <c r="H8" i="5"/>
  <c r="H9" i="5"/>
  <c r="H10" i="5"/>
  <c r="H11" i="5"/>
  <c r="H12" i="5"/>
  <c r="H13" i="5"/>
  <c r="H14" i="5"/>
  <c r="H15" i="5"/>
  <c r="H18" i="5"/>
  <c r="H19" i="5"/>
  <c r="H20" i="5"/>
  <c r="H6" i="5"/>
  <c r="H4" i="5" l="1"/>
  <c r="I241" i="16"/>
  <c r="I230" i="16"/>
  <c r="I229" i="16"/>
  <c r="I228" i="16"/>
  <c r="I227" i="16"/>
  <c r="I226" i="16"/>
  <c r="I225" i="16"/>
  <c r="I224" i="16"/>
  <c r="I206" i="16"/>
  <c r="I207" i="16"/>
  <c r="I208" i="16"/>
  <c r="I209" i="16"/>
  <c r="I185" i="16"/>
  <c r="I168" i="16"/>
  <c r="I169" i="16"/>
  <c r="I149" i="16"/>
  <c r="I150" i="16"/>
  <c r="I132" i="16"/>
  <c r="J132" i="16" s="1"/>
  <c r="I133" i="16"/>
  <c r="J133" i="16" s="1"/>
  <c r="I134" i="16"/>
  <c r="J134" i="16" s="1"/>
  <c r="I89" i="16"/>
  <c r="I90" i="16"/>
  <c r="I91" i="16"/>
  <c r="I92" i="16"/>
  <c r="I93" i="16"/>
  <c r="I94" i="16"/>
  <c r="I95" i="16"/>
  <c r="I96" i="16"/>
  <c r="I97" i="16"/>
  <c r="I98" i="16"/>
  <c r="I99" i="16"/>
  <c r="I100" i="16"/>
  <c r="I101" i="16"/>
  <c r="I102" i="16"/>
  <c r="I103" i="16"/>
  <c r="I104" i="16"/>
  <c r="I105" i="16"/>
  <c r="I106" i="16"/>
  <c r="I107" i="16"/>
  <c r="I73" i="16"/>
  <c r="I74" i="16"/>
  <c r="I56" i="16"/>
  <c r="I57" i="16"/>
  <c r="I58" i="16"/>
  <c r="I59" i="16"/>
  <c r="I60" i="16"/>
  <c r="I49" i="16"/>
  <c r="I17" i="16"/>
  <c r="G12" i="5" l="1"/>
  <c r="G19" i="5"/>
  <c r="G20" i="5"/>
  <c r="D5" i="14" l="1"/>
  <c r="I4" i="5"/>
  <c r="F4" i="5"/>
  <c r="AK20" i="14" l="1"/>
  <c r="AD20" i="14"/>
  <c r="V20" i="14"/>
  <c r="BE20" i="8" l="1"/>
  <c r="AY20" i="8"/>
  <c r="AS20" i="8"/>
  <c r="AM20" i="8"/>
  <c r="AG20" i="8"/>
  <c r="AA20" i="8"/>
  <c r="U20" i="8"/>
  <c r="O20" i="8"/>
  <c r="I20" i="8"/>
  <c r="F20" i="14" l="1"/>
  <c r="D5" i="8" l="1"/>
  <c r="L4" i="5" l="1"/>
  <c r="I18" i="8" l="1"/>
  <c r="I19" i="8"/>
  <c r="O18" i="8"/>
  <c r="O19" i="8"/>
  <c r="U18" i="8"/>
  <c r="U19" i="8"/>
  <c r="AA18" i="8"/>
  <c r="AA19" i="8"/>
  <c r="AG18" i="8"/>
  <c r="AG19" i="8"/>
  <c r="AM18" i="8"/>
  <c r="AM19" i="8"/>
  <c r="AS18" i="8"/>
  <c r="AS19" i="8"/>
  <c r="AY18" i="8"/>
  <c r="AY19" i="8"/>
  <c r="BE18" i="8"/>
  <c r="BE19" i="8"/>
  <c r="AK18" i="14"/>
  <c r="AK19" i="14"/>
  <c r="AD18" i="14"/>
  <c r="AD19" i="14"/>
  <c r="V18" i="14"/>
  <c r="V19" i="14"/>
  <c r="F18" i="14"/>
  <c r="F19" i="14"/>
  <c r="G18" i="5"/>
  <c r="F5" i="8" l="1"/>
  <c r="G5" i="8"/>
  <c r="H5" i="8"/>
  <c r="J5" i="8"/>
  <c r="K5" i="8"/>
  <c r="L5" i="8"/>
  <c r="M5" i="8"/>
  <c r="N5" i="8"/>
  <c r="P5" i="8"/>
  <c r="Q5" i="8"/>
  <c r="R5" i="8"/>
  <c r="S5" i="8"/>
  <c r="T5" i="8"/>
  <c r="V5" i="8"/>
  <c r="W5" i="8"/>
  <c r="X5" i="8"/>
  <c r="Y5" i="8"/>
  <c r="Z5" i="8"/>
  <c r="AB5" i="8"/>
  <c r="AC5" i="8"/>
  <c r="AD5" i="8"/>
  <c r="AE5" i="8"/>
  <c r="AF5" i="8"/>
  <c r="AH5" i="8"/>
  <c r="AI5" i="8"/>
  <c r="AJ5" i="8"/>
  <c r="AK5" i="8"/>
  <c r="AL5" i="8"/>
  <c r="AN5" i="8"/>
  <c r="AO5" i="8"/>
  <c r="AP5" i="8"/>
  <c r="AQ5" i="8"/>
  <c r="AR5" i="8"/>
  <c r="AT5" i="8"/>
  <c r="AU5" i="8"/>
  <c r="AV5" i="8"/>
  <c r="AW5" i="8"/>
  <c r="AX5" i="8"/>
  <c r="AZ5" i="8"/>
  <c r="BA5" i="8"/>
  <c r="BB5" i="8"/>
  <c r="BC5" i="8"/>
  <c r="BD5" i="8"/>
  <c r="E5" i="8"/>
  <c r="AJ5" i="14"/>
  <c r="AI5" i="14"/>
  <c r="AH5" i="14"/>
  <c r="AG5" i="14"/>
  <c r="AF5" i="14"/>
  <c r="AE5" i="14"/>
  <c r="AC5" i="14"/>
  <c r="AB5" i="14"/>
  <c r="AA5" i="14"/>
  <c r="Z5" i="14"/>
  <c r="Y5" i="14"/>
  <c r="X5" i="14"/>
  <c r="U5" i="14"/>
  <c r="T5" i="14"/>
  <c r="S5" i="14"/>
  <c r="R5" i="14"/>
  <c r="Q5" i="14"/>
  <c r="P5" i="14"/>
  <c r="O5" i="14"/>
  <c r="N5" i="14"/>
  <c r="M5" i="14"/>
  <c r="L5" i="14"/>
  <c r="K5" i="14"/>
  <c r="J5" i="14"/>
  <c r="I5" i="14"/>
  <c r="H5" i="14"/>
  <c r="G5" i="14"/>
  <c r="E5" i="14"/>
  <c r="Q4" i="5"/>
  <c r="P4" i="5"/>
  <c r="O4" i="5"/>
  <c r="N4" i="5"/>
  <c r="M4" i="5"/>
  <c r="K4" i="5"/>
  <c r="J4" i="5"/>
  <c r="E4" i="5"/>
  <c r="G6" i="5" l="1"/>
  <c r="G7" i="5"/>
  <c r="G8" i="5"/>
  <c r="G9" i="5"/>
  <c r="G10" i="5"/>
  <c r="G11" i="5"/>
  <c r="G13" i="5"/>
  <c r="G14" i="5"/>
  <c r="G15" i="5"/>
  <c r="G5" i="5" l="1"/>
  <c r="G4" i="5" s="1"/>
  <c r="BE17" i="8" l="1"/>
  <c r="BE16" i="8"/>
  <c r="BE15" i="8"/>
  <c r="BE14" i="8"/>
  <c r="BE13" i="8"/>
  <c r="BE12" i="8"/>
  <c r="BE11" i="8"/>
  <c r="BE10" i="8"/>
  <c r="BE9" i="8"/>
  <c r="BE8" i="8"/>
  <c r="BE7" i="8"/>
  <c r="BE6" i="8"/>
  <c r="AY17" i="8"/>
  <c r="AY16" i="8"/>
  <c r="AY15" i="8"/>
  <c r="AY14" i="8"/>
  <c r="AY13" i="8"/>
  <c r="AY12" i="8"/>
  <c r="AY11" i="8"/>
  <c r="AY10" i="8"/>
  <c r="AY9" i="8"/>
  <c r="AY8" i="8"/>
  <c r="AY7" i="8"/>
  <c r="AY6" i="8"/>
  <c r="BE5" i="8" l="1"/>
  <c r="AY5" i="8"/>
  <c r="AK15" i="14" l="1"/>
  <c r="AD16" i="14"/>
  <c r="AD15" i="14"/>
  <c r="O16" i="8"/>
  <c r="O15" i="8"/>
  <c r="I16" i="8"/>
  <c r="I15" i="8"/>
  <c r="U16" i="8"/>
  <c r="U15" i="8"/>
  <c r="AA16" i="8"/>
  <c r="AA15" i="8"/>
  <c r="AG16" i="8"/>
  <c r="AG15" i="8"/>
  <c r="AM16" i="8"/>
  <c r="AM15" i="8"/>
  <c r="AS16" i="8"/>
  <c r="AS15" i="8"/>
  <c r="AK16" i="14"/>
  <c r="V16" i="14" l="1"/>
  <c r="V15" i="14"/>
  <c r="F16" i="14"/>
  <c r="F15" i="14"/>
  <c r="AS14" i="8" l="1"/>
  <c r="AM14" i="8"/>
  <c r="AG14" i="8"/>
  <c r="AA14" i="8"/>
  <c r="U14" i="8"/>
  <c r="O14" i="8"/>
  <c r="I14" i="8"/>
  <c r="AS17" i="8"/>
  <c r="AM17" i="8"/>
  <c r="AG17" i="8"/>
  <c r="AA17" i="8"/>
  <c r="U17" i="8"/>
  <c r="O17" i="8"/>
  <c r="I17" i="8"/>
  <c r="AS13" i="8"/>
  <c r="AM13" i="8"/>
  <c r="AG13" i="8"/>
  <c r="AA13" i="8"/>
  <c r="U13" i="8"/>
  <c r="O13" i="8"/>
  <c r="I13" i="8"/>
  <c r="AS12" i="8"/>
  <c r="AM12" i="8"/>
  <c r="AG12" i="8"/>
  <c r="AA12" i="8"/>
  <c r="U12" i="8"/>
  <c r="O12" i="8"/>
  <c r="I12" i="8"/>
  <c r="AS11" i="8"/>
  <c r="AM11" i="8"/>
  <c r="AG11" i="8"/>
  <c r="AA11" i="8"/>
  <c r="U11" i="8"/>
  <c r="O11" i="8"/>
  <c r="I11" i="8"/>
  <c r="AS10" i="8"/>
  <c r="AM10" i="8"/>
  <c r="AG10" i="8"/>
  <c r="AA10" i="8"/>
  <c r="U10" i="8"/>
  <c r="O10" i="8"/>
  <c r="I10" i="8"/>
  <c r="AS9" i="8"/>
  <c r="AM9" i="8"/>
  <c r="AG9" i="8"/>
  <c r="AA9" i="8"/>
  <c r="U9" i="8"/>
  <c r="O9" i="8"/>
  <c r="I9" i="8"/>
  <c r="AS8" i="8"/>
  <c r="AM8" i="8"/>
  <c r="AG8" i="8"/>
  <c r="AA8" i="8"/>
  <c r="U8" i="8"/>
  <c r="O8" i="8"/>
  <c r="I8" i="8"/>
  <c r="AS7" i="8"/>
  <c r="AM7" i="8"/>
  <c r="AG7" i="8"/>
  <c r="AA7" i="8"/>
  <c r="U7" i="8"/>
  <c r="O7" i="8"/>
  <c r="I7" i="8"/>
  <c r="AS6" i="8"/>
  <c r="AM6" i="8"/>
  <c r="AG6" i="8"/>
  <c r="AA6" i="8"/>
  <c r="U6" i="8"/>
  <c r="O6" i="8"/>
  <c r="I6" i="8"/>
  <c r="AK14" i="14"/>
  <c r="AD14" i="14"/>
  <c r="V14" i="14"/>
  <c r="F14" i="14"/>
  <c r="AK17" i="14"/>
  <c r="AD17" i="14"/>
  <c r="V17" i="14"/>
  <c r="F17" i="14"/>
  <c r="AK13" i="14"/>
  <c r="AD13" i="14"/>
  <c r="V13" i="14"/>
  <c r="F13" i="14"/>
  <c r="AK12" i="14"/>
  <c r="AD12" i="14"/>
  <c r="V12" i="14"/>
  <c r="F12" i="14"/>
  <c r="AK11" i="14"/>
  <c r="AD11" i="14"/>
  <c r="V11" i="14"/>
  <c r="F11" i="14"/>
  <c r="AK10" i="14"/>
  <c r="AD10" i="14"/>
  <c r="V10" i="14"/>
  <c r="F10" i="14"/>
  <c r="AK9" i="14"/>
  <c r="AD9" i="14"/>
  <c r="V9" i="14"/>
  <c r="F9" i="14"/>
  <c r="AK8" i="14"/>
  <c r="AD8" i="14"/>
  <c r="V8" i="14"/>
  <c r="F8" i="14"/>
  <c r="AK7" i="14"/>
  <c r="AD7" i="14"/>
  <c r="V7" i="14"/>
  <c r="F7" i="14"/>
  <c r="AK6" i="14"/>
  <c r="AD6" i="14"/>
  <c r="V6" i="14"/>
  <c r="F6" i="14"/>
  <c r="F5" i="14" l="1"/>
  <c r="AD5" i="14"/>
  <c r="AS5" i="8"/>
  <c r="AM5" i="8"/>
  <c r="AG5" i="8"/>
  <c r="AA5" i="8"/>
  <c r="U5" i="8"/>
  <c r="O5" i="8"/>
  <c r="I5" i="8"/>
  <c r="AK5" i="14"/>
  <c r="V5" i="14"/>
  <c r="I51" i="16" l="1"/>
  <c r="I44" i="16"/>
  <c r="I43" i="16"/>
  <c r="I46" i="16"/>
  <c r="I42" i="16"/>
  <c r="I41" i="16"/>
  <c r="I52" i="16"/>
  <c r="I48" i="16"/>
  <c r="I50" i="16"/>
  <c r="I47" i="16"/>
  <c r="I45" i="16"/>
  <c r="I40" i="16"/>
  <c r="I8" i="10" l="1"/>
  <c r="I38" i="16" l="1"/>
  <c r="I34" i="16"/>
  <c r="I35" i="16"/>
  <c r="I33" i="16"/>
  <c r="I36" i="16"/>
  <c r="I28" i="16"/>
  <c r="I30" i="16"/>
  <c r="I27" i="16"/>
  <c r="I32" i="16"/>
  <c r="I39" i="16"/>
  <c r="I26" i="16"/>
  <c r="I37" i="16"/>
  <c r="I29" i="16"/>
  <c r="I31" i="16"/>
  <c r="I7" i="10" l="1"/>
  <c r="I11" i="16" l="1"/>
  <c r="J11" i="16" s="1"/>
  <c r="I10" i="16"/>
  <c r="J10" i="16" s="1"/>
  <c r="I14" i="16"/>
  <c r="J14" i="16" s="1"/>
  <c r="I13" i="16"/>
  <c r="J13" i="16" s="1"/>
  <c r="I7" i="16"/>
  <c r="J7" i="16" s="1"/>
  <c r="I12" i="16"/>
  <c r="J12" i="16" s="1"/>
  <c r="I16" i="16"/>
  <c r="I6" i="16"/>
  <c r="J6" i="16" s="1"/>
  <c r="I9" i="16"/>
  <c r="J9" i="16" s="1"/>
  <c r="I4" i="16"/>
  <c r="J4" i="16" s="1"/>
  <c r="I15" i="16"/>
  <c r="I5" i="16"/>
  <c r="J5" i="16" s="1"/>
  <c r="I8" i="16"/>
  <c r="J8" i="16" s="1"/>
  <c r="I5" i="10" l="1"/>
  <c r="I19" i="16"/>
  <c r="I23" i="16"/>
  <c r="I25" i="16"/>
  <c r="I21" i="16"/>
  <c r="I20" i="16"/>
  <c r="I22" i="16"/>
  <c r="I24" i="16"/>
  <c r="I18" i="16"/>
  <c r="I6" i="10" l="1"/>
  <c r="I65" i="16" l="1"/>
  <c r="I67" i="16"/>
  <c r="I61" i="16"/>
  <c r="I68" i="16"/>
  <c r="I64" i="16"/>
  <c r="I55" i="16"/>
  <c r="I54" i="16"/>
  <c r="I66" i="16"/>
  <c r="I63" i="16"/>
  <c r="I53" i="16"/>
  <c r="I62" i="16"/>
  <c r="I9" i="10" l="1"/>
  <c r="I114" i="16"/>
  <c r="I119" i="16"/>
  <c r="I117" i="16"/>
  <c r="I112" i="16"/>
  <c r="I108" i="16"/>
  <c r="I121" i="16"/>
  <c r="I86" i="16"/>
  <c r="I88" i="16"/>
  <c r="I118" i="16"/>
  <c r="I110" i="16"/>
  <c r="I120" i="16"/>
  <c r="I87" i="16"/>
  <c r="I113" i="16"/>
  <c r="I115" i="16"/>
  <c r="I111" i="16"/>
  <c r="I109" i="16"/>
  <c r="I116" i="16"/>
  <c r="I85" i="16"/>
  <c r="I11" i="10" l="1"/>
  <c r="I128" i="16"/>
  <c r="I139" i="16"/>
  <c r="J139" i="16" s="1"/>
  <c r="I141" i="16"/>
  <c r="J141" i="16" s="1"/>
  <c r="I142" i="16"/>
  <c r="J142" i="16" s="1"/>
  <c r="I140" i="16"/>
  <c r="J140" i="16" s="1"/>
  <c r="I124" i="16"/>
  <c r="I138" i="16"/>
  <c r="J138" i="16" s="1"/>
  <c r="I123" i="16"/>
  <c r="I131" i="16"/>
  <c r="J131" i="16" s="1"/>
  <c r="I130" i="16"/>
  <c r="J130" i="16" s="1"/>
  <c r="I136" i="16"/>
  <c r="J136" i="16" s="1"/>
  <c r="I137" i="16"/>
  <c r="J137" i="16" s="1"/>
  <c r="I127" i="16"/>
  <c r="I129" i="16"/>
  <c r="I122" i="16"/>
  <c r="I126" i="16"/>
  <c r="I135" i="16"/>
  <c r="J135" i="16" s="1"/>
  <c r="I125" i="16"/>
  <c r="I12" i="10" l="1"/>
  <c r="I155" i="16"/>
  <c r="I154" i="16"/>
  <c r="I147" i="16"/>
  <c r="I148" i="16"/>
  <c r="I151" i="16"/>
  <c r="I145" i="16"/>
  <c r="J145" i="16" s="1"/>
  <c r="I158" i="16"/>
  <c r="I144" i="16"/>
  <c r="J144" i="16" s="1"/>
  <c r="I157" i="16"/>
  <c r="I153" i="16"/>
  <c r="I152" i="16"/>
  <c r="I146" i="16"/>
  <c r="I156" i="16"/>
  <c r="I143" i="16"/>
  <c r="J143" i="16" s="1"/>
  <c r="I13" i="10" l="1"/>
  <c r="I161" i="16"/>
  <c r="I175" i="16"/>
  <c r="I174" i="16"/>
  <c r="I177" i="16"/>
  <c r="I173" i="16"/>
  <c r="I167" i="16"/>
  <c r="I159" i="16"/>
  <c r="I162" i="16"/>
  <c r="I164" i="16"/>
  <c r="I163" i="16"/>
  <c r="I171" i="16"/>
  <c r="I165" i="16"/>
  <c r="I172" i="16"/>
  <c r="I170" i="16"/>
  <c r="I160" i="16"/>
  <c r="I166" i="16"/>
  <c r="I176" i="16"/>
  <c r="I14" i="10" l="1"/>
  <c r="I181" i="16"/>
  <c r="I198" i="16"/>
  <c r="I192" i="16"/>
  <c r="I179" i="16"/>
  <c r="I194" i="16"/>
  <c r="I186" i="16"/>
  <c r="I193" i="16"/>
  <c r="I180" i="16"/>
  <c r="I182" i="16"/>
  <c r="I195" i="16"/>
  <c r="I178" i="16"/>
  <c r="I188" i="16"/>
  <c r="I199" i="16"/>
  <c r="I189" i="16"/>
  <c r="I190" i="16"/>
  <c r="I191" i="16"/>
  <c r="I196" i="16"/>
  <c r="I183" i="16"/>
  <c r="I187" i="16"/>
  <c r="I197" i="16"/>
  <c r="I184" i="16"/>
  <c r="I15" i="10" l="1"/>
  <c r="I204" i="16"/>
  <c r="I218" i="16"/>
  <c r="I217" i="16"/>
  <c r="I200" i="16"/>
  <c r="I203" i="16"/>
  <c r="I201" i="16"/>
  <c r="I216" i="16"/>
  <c r="I213" i="16"/>
  <c r="I221" i="16"/>
  <c r="I215" i="16"/>
  <c r="I219" i="16"/>
  <c r="I214" i="16"/>
  <c r="I210" i="16"/>
  <c r="I205" i="16"/>
  <c r="I202" i="16"/>
  <c r="I222" i="16"/>
  <c r="I212" i="16"/>
  <c r="I220" i="16"/>
  <c r="I211" i="16"/>
  <c r="I16" i="10" l="1"/>
  <c r="I234" i="16"/>
  <c r="I231" i="16"/>
  <c r="I232" i="16"/>
  <c r="I223" i="16"/>
  <c r="I233" i="16"/>
  <c r="I235" i="16"/>
  <c r="I17" i="10" l="1"/>
  <c r="I240" i="16"/>
  <c r="I239" i="16"/>
  <c r="I246" i="16"/>
  <c r="I245" i="16"/>
  <c r="I247" i="16"/>
  <c r="I244" i="16"/>
  <c r="I248" i="16"/>
  <c r="I250" i="16"/>
  <c r="I236" i="16"/>
  <c r="I242" i="16"/>
  <c r="I243" i="16"/>
  <c r="I237" i="16"/>
  <c r="I238" i="16"/>
  <c r="I249" i="16"/>
  <c r="I18" i="10" l="1"/>
  <c r="I259" i="16"/>
  <c r="I256" i="16"/>
  <c r="I257" i="16"/>
  <c r="I258" i="16"/>
  <c r="I253" i="16"/>
  <c r="I254" i="16"/>
  <c r="I260" i="16"/>
  <c r="I264" i="16"/>
  <c r="I251" i="16"/>
  <c r="I262" i="16"/>
  <c r="I255" i="16"/>
  <c r="I263" i="16"/>
  <c r="I261" i="16"/>
  <c r="I265" i="16"/>
  <c r="I252" i="16"/>
  <c r="I19" i="10" l="1"/>
  <c r="I71" i="16" l="1"/>
  <c r="I82" i="16"/>
  <c r="I72" i="16"/>
  <c r="I80" i="16"/>
  <c r="I81" i="16"/>
  <c r="I79" i="16"/>
  <c r="I76" i="16"/>
  <c r="I83" i="16"/>
  <c r="I77" i="16"/>
  <c r="I70" i="16"/>
  <c r="I75" i="16"/>
  <c r="I84" i="16"/>
  <c r="I78" i="16"/>
  <c r="I69" i="16"/>
  <c r="I10" i="10" l="1"/>
  <c r="I4" i="10" s="1"/>
</calcChain>
</file>

<file path=xl/comments1.xml><?xml version="1.0" encoding="utf-8"?>
<comments xmlns="http://schemas.openxmlformats.org/spreadsheetml/2006/main">
  <authors>
    <author>pc</author>
  </authors>
  <commentList>
    <comment ref="Q3" authorId="0" shapeId="0">
      <text>
        <r>
          <rPr>
            <b/>
            <sz val="9"/>
            <color indexed="81"/>
            <rFont val="Tahoma"/>
            <family val="2"/>
          </rPr>
          <t>&lt; 5</t>
        </r>
        <r>
          <rPr>
            <b/>
            <sz val="9"/>
            <color indexed="81"/>
            <rFont val="돋움"/>
            <family val="3"/>
            <charset val="129"/>
          </rPr>
          <t>점</t>
        </r>
        <r>
          <rPr>
            <b/>
            <sz val="9"/>
            <color indexed="81"/>
            <rFont val="Tahoma"/>
            <family val="2"/>
          </rPr>
          <t xml:space="preserve"> </t>
        </r>
        <r>
          <rPr>
            <b/>
            <sz val="9"/>
            <color indexed="81"/>
            <rFont val="돋움"/>
            <family val="3"/>
            <charset val="129"/>
          </rPr>
          <t>만점</t>
        </r>
        <r>
          <rPr>
            <b/>
            <sz val="9"/>
            <color indexed="81"/>
            <rFont val="Tahoma"/>
            <family val="2"/>
          </rPr>
          <t xml:space="preserve"> &gt;</t>
        </r>
        <r>
          <rPr>
            <b/>
            <sz val="9"/>
            <color indexed="81"/>
            <rFont val="돋움"/>
            <family val="3"/>
            <charset val="129"/>
          </rPr>
          <t xml:space="preserve">
</t>
        </r>
        <r>
          <rPr>
            <b/>
            <sz val="9"/>
            <color indexed="81"/>
            <rFont val="Tahoma"/>
            <family val="2"/>
          </rPr>
          <t xml:space="preserve">- </t>
        </r>
        <r>
          <rPr>
            <b/>
            <sz val="9"/>
            <color indexed="81"/>
            <rFont val="돋움"/>
            <family val="3"/>
            <charset val="129"/>
          </rPr>
          <t>매우만족</t>
        </r>
        <r>
          <rPr>
            <b/>
            <sz val="9"/>
            <color indexed="81"/>
            <rFont val="Tahoma"/>
            <family val="2"/>
          </rPr>
          <t xml:space="preserve"> : 5</t>
        </r>
        <r>
          <rPr>
            <b/>
            <sz val="9"/>
            <color indexed="81"/>
            <rFont val="돋움"/>
            <family val="3"/>
            <charset val="129"/>
          </rPr>
          <t xml:space="preserve">점
</t>
        </r>
        <r>
          <rPr>
            <b/>
            <sz val="9"/>
            <color indexed="81"/>
            <rFont val="Tahoma"/>
            <family val="2"/>
          </rPr>
          <t xml:space="preserve">- </t>
        </r>
        <r>
          <rPr>
            <b/>
            <sz val="9"/>
            <color indexed="81"/>
            <rFont val="돋움"/>
            <family val="3"/>
            <charset val="129"/>
          </rPr>
          <t>만족</t>
        </r>
        <r>
          <rPr>
            <b/>
            <sz val="9"/>
            <color indexed="81"/>
            <rFont val="Tahoma"/>
            <family val="2"/>
          </rPr>
          <t xml:space="preserve"> : 4</t>
        </r>
        <r>
          <rPr>
            <b/>
            <sz val="9"/>
            <color indexed="81"/>
            <rFont val="돋움"/>
            <family val="3"/>
            <charset val="129"/>
          </rPr>
          <t xml:space="preserve">점
</t>
        </r>
        <r>
          <rPr>
            <b/>
            <sz val="9"/>
            <color indexed="81"/>
            <rFont val="Tahoma"/>
            <family val="2"/>
          </rPr>
          <t xml:space="preserve">- </t>
        </r>
        <r>
          <rPr>
            <b/>
            <sz val="9"/>
            <color indexed="81"/>
            <rFont val="돋움"/>
            <family val="3"/>
            <charset val="129"/>
          </rPr>
          <t>보통</t>
        </r>
        <r>
          <rPr>
            <b/>
            <sz val="9"/>
            <color indexed="81"/>
            <rFont val="Tahoma"/>
            <family val="2"/>
          </rPr>
          <t xml:space="preserve"> : 3</t>
        </r>
        <r>
          <rPr>
            <b/>
            <sz val="9"/>
            <color indexed="81"/>
            <rFont val="돋움"/>
            <family val="3"/>
            <charset val="129"/>
          </rPr>
          <t xml:space="preserve">점
</t>
        </r>
        <r>
          <rPr>
            <b/>
            <sz val="9"/>
            <color indexed="81"/>
            <rFont val="Tahoma"/>
            <family val="2"/>
          </rPr>
          <t xml:space="preserve">- </t>
        </r>
        <r>
          <rPr>
            <b/>
            <sz val="9"/>
            <color indexed="81"/>
            <rFont val="돋움"/>
            <family val="3"/>
            <charset val="129"/>
          </rPr>
          <t>불만족</t>
        </r>
        <r>
          <rPr>
            <b/>
            <sz val="9"/>
            <color indexed="81"/>
            <rFont val="Tahoma"/>
            <family val="2"/>
          </rPr>
          <t xml:space="preserve"> : 2</t>
        </r>
        <r>
          <rPr>
            <b/>
            <sz val="9"/>
            <color indexed="81"/>
            <rFont val="돋움"/>
            <family val="3"/>
            <charset val="129"/>
          </rPr>
          <t xml:space="preserve">점
</t>
        </r>
        <r>
          <rPr>
            <b/>
            <sz val="9"/>
            <color indexed="81"/>
            <rFont val="Tahoma"/>
            <family val="2"/>
          </rPr>
          <t xml:space="preserve">- </t>
        </r>
        <r>
          <rPr>
            <b/>
            <sz val="9"/>
            <color indexed="81"/>
            <rFont val="돋움"/>
            <family val="3"/>
            <charset val="129"/>
          </rPr>
          <t>매우불만족</t>
        </r>
        <r>
          <rPr>
            <b/>
            <sz val="9"/>
            <color indexed="81"/>
            <rFont val="Tahoma"/>
            <family val="2"/>
          </rPr>
          <t xml:space="preserve"> : 1</t>
        </r>
        <r>
          <rPr>
            <b/>
            <sz val="9"/>
            <color indexed="81"/>
            <rFont val="돋움"/>
            <family val="3"/>
            <charset val="129"/>
          </rPr>
          <t>점</t>
        </r>
      </text>
    </comment>
  </commentList>
</comments>
</file>

<file path=xl/sharedStrings.xml><?xml version="1.0" encoding="utf-8"?>
<sst xmlns="http://schemas.openxmlformats.org/spreadsheetml/2006/main" count="4384" uniqueCount="1246">
  <si>
    <t>응답률</t>
  </si>
  <si>
    <t>연번</t>
  </si>
  <si>
    <t>수강인원</t>
  </si>
  <si>
    <t>응답인원</t>
  </si>
  <si>
    <t>응답</t>
  </si>
  <si>
    <t>남</t>
  </si>
  <si>
    <t>여</t>
  </si>
  <si>
    <t>통진읍</t>
  </si>
  <si>
    <t>고촌읍</t>
  </si>
  <si>
    <t>양촌읍</t>
  </si>
  <si>
    <t>월곶면</t>
  </si>
  <si>
    <t>하성면</t>
  </si>
  <si>
    <t>대곶면</t>
  </si>
  <si>
    <t>김포본동</t>
  </si>
  <si>
    <t>장기본동</t>
  </si>
  <si>
    <t>사우동</t>
  </si>
  <si>
    <t>풍무동</t>
  </si>
  <si>
    <t>장기동</t>
  </si>
  <si>
    <t>구래동</t>
  </si>
  <si>
    <t>마산동</t>
  </si>
  <si>
    <t>운양동</t>
  </si>
  <si>
    <t>기타지역</t>
  </si>
  <si>
    <t>20대</t>
  </si>
  <si>
    <t>30대</t>
  </si>
  <si>
    <t>40대</t>
  </si>
  <si>
    <t>50대</t>
  </si>
  <si>
    <t>60대</t>
  </si>
  <si>
    <t>70대이상</t>
  </si>
  <si>
    <t>직장인</t>
  </si>
  <si>
    <t>자영업</t>
  </si>
  <si>
    <t>주부</t>
  </si>
  <si>
    <t>학생</t>
  </si>
  <si>
    <t>기타</t>
  </si>
  <si>
    <t>연번</t>
  </si>
  <si>
    <t>과 목</t>
  </si>
  <si>
    <t>보통</t>
  </si>
  <si>
    <t>그렇다</t>
  </si>
  <si>
    <t xml:space="preserve">수업의 활용도 </t>
  </si>
  <si>
    <t>성별</t>
  </si>
  <si>
    <t>거주지역</t>
  </si>
  <si>
    <t>연령</t>
  </si>
  <si>
    <t>직업</t>
  </si>
  <si>
    <t>연번</t>
  </si>
  <si>
    <t>과목명</t>
  </si>
  <si>
    <t>이름</t>
  </si>
  <si>
    <t>출석일</t>
  </si>
  <si>
    <t>출석률</t>
  </si>
  <si>
    <t>과목명</t>
  </si>
  <si>
    <t>모집정원</t>
  </si>
  <si>
    <t>수강인원</t>
  </si>
  <si>
    <t>수료인원</t>
  </si>
  <si>
    <t>수료율</t>
  </si>
  <si>
    <t>수료여부</t>
  </si>
  <si>
    <t>매우
그렇지
않다</t>
  </si>
  <si>
    <t>그렇지
않다.</t>
  </si>
  <si>
    <t>매우
그렇다.</t>
  </si>
  <si>
    <t>프로그램명</t>
  </si>
  <si>
    <t>P1 B2</t>
  </si>
  <si>
    <t>P1 B3</t>
  </si>
  <si>
    <t>P1 B4</t>
  </si>
  <si>
    <t>P1 B5</t>
  </si>
  <si>
    <t>응답자ID</t>
  </si>
  <si>
    <t>시작일시</t>
  </si>
  <si>
    <t>교육과목</t>
  </si>
  <si>
    <t>교육과 관련하여 좋았던 점 이나 개선할 점</t>
  </si>
  <si>
    <t>구분</t>
  </si>
  <si>
    <t xml:space="preserve"> 교육에 관한 질문</t>
  </si>
  <si>
    <t xml:space="preserve">계 </t>
  </si>
  <si>
    <t>만족도 평균</t>
  </si>
  <si>
    <t>직업능력</t>
  </si>
  <si>
    <t>인문교양</t>
  </si>
  <si>
    <t>문화예술</t>
  </si>
  <si>
    <t xml:space="preserve"> 주관식 질문</t>
  </si>
  <si>
    <t>수강생 개인별 출석 현황</t>
  </si>
  <si>
    <t>농어업 
축산임업</t>
  </si>
  <si>
    <t>계</t>
  </si>
  <si>
    <t>계</t>
  </si>
  <si>
    <t xml:space="preserve">   ○  응답률 및 주요지표 </t>
  </si>
  <si>
    <t>응답자  특성</t>
    <phoneticPr fontId="2" type="noConversion"/>
  </si>
  <si>
    <t>P1 B7.1 2-1 수강한 수업의 강사가 적극적으로 수업을 진행한다. - 응답</t>
    <phoneticPr fontId="2" type="noConversion"/>
  </si>
  <si>
    <t>수업 
활용</t>
    <phoneticPr fontId="2" type="noConversion"/>
  </si>
  <si>
    <t>교재 및 자료 충분성</t>
    <phoneticPr fontId="2" type="noConversion"/>
  </si>
  <si>
    <t>강의시설 만족도</t>
    <phoneticPr fontId="2" type="noConversion"/>
  </si>
  <si>
    <t>체감 만족도</t>
    <phoneticPr fontId="2" type="noConversion"/>
  </si>
  <si>
    <t>강사 적극성</t>
    <phoneticPr fontId="2" type="noConversion"/>
  </si>
  <si>
    <t>강사 전문성</t>
    <phoneticPr fontId="2" type="noConversion"/>
  </si>
  <si>
    <t>내용 충실성</t>
    <phoneticPr fontId="2" type="noConversion"/>
  </si>
  <si>
    <t>시간대 적정성</t>
    <phoneticPr fontId="2" type="noConversion"/>
  </si>
  <si>
    <t>수업 유익성</t>
    <phoneticPr fontId="2" type="noConversion"/>
  </si>
  <si>
    <t>수업일</t>
    <phoneticPr fontId="2" type="noConversion"/>
  </si>
  <si>
    <t>P1 B7.5 2-5 수강한 수업으로 인하여 관련분야 활용에 도움이 된다. - 응답</t>
    <phoneticPr fontId="2" type="noConversion"/>
  </si>
  <si>
    <t>P1 B7.6 2-6 수강한 수업이 유익하다고 생각한다. - 응답</t>
    <phoneticPr fontId="2" type="noConversion"/>
  </si>
  <si>
    <t>응답</t>
    <phoneticPr fontId="2" type="noConversion"/>
  </si>
  <si>
    <t>P1 B7.2 2-2 수강한 수업의 강사가 전문적인 지식을 갖고 진행한다. - 응답</t>
    <phoneticPr fontId="2" type="noConversion"/>
  </si>
  <si>
    <t>P1 B7.3 2-3 수강한 수업의 내용과 과정이 충실히 진행되었다. - 응답</t>
    <phoneticPr fontId="2" type="noConversion"/>
  </si>
  <si>
    <t>P1 B7.4 2-4 수강한 수업의 운영시간대가 적정하다고 생각한다. - 응답</t>
    <phoneticPr fontId="2" type="noConversion"/>
  </si>
  <si>
    <t>P1 B7.7 2-7 교육교재와 보조자료는 학습에 도움이 되었다. - 응답</t>
    <phoneticPr fontId="2" type="noConversion"/>
  </si>
  <si>
    <t>P1 B7.8 2-8 강의시섦 치 교육지원 매체(빔 프로젝트 등)에 대하여 만족한다.- 응답</t>
    <phoneticPr fontId="2" type="noConversion"/>
  </si>
  <si>
    <t>3.읍면동 가까이배움터 교육과 관련하여 좋았던 점이 있다면 어떤 의견이라도 좋으니 자유롭게 말씀해 주십시오</t>
    <phoneticPr fontId="2" type="noConversion"/>
  </si>
  <si>
    <t>생년월일</t>
    <phoneticPr fontId="2" type="noConversion"/>
  </si>
  <si>
    <t>성별</t>
    <phoneticPr fontId="2" type="noConversion"/>
  </si>
  <si>
    <t>종료일시</t>
    <phoneticPr fontId="2" type="noConversion"/>
  </si>
  <si>
    <t>1-1 성별을 선택해 주세요.</t>
    <phoneticPr fontId="2" type="noConversion"/>
  </si>
  <si>
    <t>1-2 거주지역을 선택해 주세요.</t>
    <phoneticPr fontId="2" type="noConversion"/>
  </si>
  <si>
    <t>1-3 연령을 선택해 주세요.</t>
    <phoneticPr fontId="2" type="noConversion"/>
  </si>
  <si>
    <t>1-4 직업을 선택해주세요.</t>
    <phoneticPr fontId="2" type="noConversion"/>
  </si>
  <si>
    <t>다음 문항을 읽으시고 해당 항목에 ✔표시해 주십시오.</t>
    <phoneticPr fontId="2" type="noConversion"/>
  </si>
  <si>
    <t>P1 B7.9 2-9 가까이배움터(평생학습센터)교육 프로그램에 대해 전반적으로 만족하십니까? - 응답</t>
    <phoneticPr fontId="2" type="noConversion"/>
  </si>
  <si>
    <t>응답</t>
    <phoneticPr fontId="2" type="noConversion"/>
  </si>
  <si>
    <t>P1B7</t>
    <phoneticPr fontId="26" type="noConversion"/>
  </si>
  <si>
    <t>P1B8</t>
  </si>
  <si>
    <t>만19세이하</t>
    <phoneticPr fontId="2" type="noConversion"/>
  </si>
  <si>
    <t>매우그렇다</t>
  </si>
  <si>
    <t>만 70대 이상</t>
  </si>
  <si>
    <t>그렇지않다</t>
  </si>
  <si>
    <t>김현숙</t>
  </si>
  <si>
    <r>
      <rPr>
        <sz val="11"/>
        <color theme="1"/>
        <rFont val="돋움"/>
        <family val="3"/>
        <charset val="129"/>
      </rPr>
      <t>인원</t>
    </r>
    <r>
      <rPr>
        <sz val="11"/>
        <color theme="1"/>
        <rFont val="Arial"/>
        <family val="2"/>
      </rPr>
      <t xml:space="preserve"> : </t>
    </r>
    <r>
      <rPr>
        <sz val="11"/>
        <color theme="1"/>
        <rFont val="돋움"/>
        <family val="3"/>
        <charset val="129"/>
      </rPr>
      <t>명</t>
    </r>
    <phoneticPr fontId="2" type="noConversion"/>
  </si>
  <si>
    <t>매우
그렇다.</t>
    <phoneticPr fontId="2" type="noConversion"/>
  </si>
  <si>
    <r>
      <rPr>
        <b/>
        <sz val="10"/>
        <color rgb="FF000000"/>
        <rFont val="맑은 고딕"/>
        <family val="3"/>
        <charset val="129"/>
        <scheme val="minor"/>
      </rPr>
      <t>과목명</t>
    </r>
  </si>
  <si>
    <t>김순자</t>
  </si>
  <si>
    <t>여성</t>
  </si>
  <si>
    <t>1953.10.18</t>
  </si>
  <si>
    <t>남성</t>
  </si>
  <si>
    <t>1942.06.05</t>
  </si>
  <si>
    <t xml:space="preserve">   </t>
    <phoneticPr fontId="2" type="noConversion"/>
  </si>
  <si>
    <t>1949.03.08</t>
  </si>
  <si>
    <t>박정숙</t>
  </si>
  <si>
    <t>최은숙</t>
  </si>
  <si>
    <t>1967.05.08</t>
  </si>
  <si>
    <t>박지안</t>
  </si>
  <si>
    <t>1952.01.23</t>
  </si>
  <si>
    <t>컴퓨터활용능력 2급 실기 자격증(온라인)</t>
  </si>
  <si>
    <t>컴퓨터활용능력 2급 실기 자격증(온라인)</t>
    <phoneticPr fontId="2" type="noConversion"/>
  </si>
  <si>
    <t>정리수납 전문가 자격과정</t>
  </si>
  <si>
    <t>정리수납 전문가 자격과정</t>
    <phoneticPr fontId="2" type="noConversion"/>
  </si>
  <si>
    <t>문화예술</t>
    <phoneticPr fontId="2" type="noConversion"/>
  </si>
  <si>
    <t>기초문해</t>
    <phoneticPr fontId="2" type="noConversion"/>
  </si>
  <si>
    <t>어르신이 행복한 웃음치료</t>
  </si>
  <si>
    <t>어르신이 행복한 웃음치료</t>
    <phoneticPr fontId="2" type="noConversion"/>
  </si>
  <si>
    <t>힐링 노래교실</t>
    <phoneticPr fontId="2" type="noConversion"/>
  </si>
  <si>
    <t>우쿨렐레</t>
  </si>
  <si>
    <t>우쿨렐레</t>
    <phoneticPr fontId="2" type="noConversion"/>
  </si>
  <si>
    <t>한글교실(어르신)</t>
  </si>
  <si>
    <t>한글교실(어르신)</t>
    <phoneticPr fontId="2" type="noConversion"/>
  </si>
  <si>
    <t>영어교실(어르신)</t>
  </si>
  <si>
    <t>영어교실(어르신)</t>
    <phoneticPr fontId="2" type="noConversion"/>
  </si>
  <si>
    <t>김시응</t>
  </si>
  <si>
    <t>1957.04.21</t>
  </si>
  <si>
    <t>김양수</t>
  </si>
  <si>
    <t>1949.12.04</t>
  </si>
  <si>
    <t>1954.01.03</t>
  </si>
  <si>
    <t>공순진</t>
  </si>
  <si>
    <t>김옥윤</t>
  </si>
  <si>
    <t>1948.01.14</t>
  </si>
  <si>
    <t>1950.03.20</t>
  </si>
  <si>
    <t>1956.07.14</t>
  </si>
  <si>
    <t>이미주</t>
  </si>
  <si>
    <t>1984.01.14</t>
  </si>
  <si>
    <t>이정옥</t>
  </si>
  <si>
    <t>1948.02.13</t>
  </si>
  <si>
    <t>민정임</t>
  </si>
  <si>
    <t>1943.08.10</t>
  </si>
  <si>
    <t>양옥순</t>
  </si>
  <si>
    <t>1937.09.18</t>
  </si>
  <si>
    <t>이순분</t>
  </si>
  <si>
    <t>1954.07.29</t>
  </si>
  <si>
    <t>이인자</t>
  </si>
  <si>
    <t>1946.04.22</t>
  </si>
  <si>
    <t>전복순</t>
  </si>
  <si>
    <t>1941.11.22</t>
  </si>
  <si>
    <t>김성리</t>
  </si>
  <si>
    <t>1963.07.10</t>
  </si>
  <si>
    <t>마순옥</t>
  </si>
  <si>
    <t>1953.01.07</t>
  </si>
  <si>
    <t>백현애</t>
  </si>
  <si>
    <t>1956.09.04</t>
  </si>
  <si>
    <t>김영자</t>
  </si>
  <si>
    <t>김춘연</t>
  </si>
  <si>
    <t>1947.03.19</t>
  </si>
  <si>
    <t>민교근</t>
  </si>
  <si>
    <t>1950.08.14</t>
  </si>
  <si>
    <t>박진아</t>
  </si>
  <si>
    <t>1971.08.17</t>
  </si>
  <si>
    <t>이정자</t>
  </si>
  <si>
    <t>1944.07.30</t>
  </si>
  <si>
    <t>이희자</t>
  </si>
  <si>
    <t>1942.08.25</t>
  </si>
  <si>
    <t>장윤숙</t>
  </si>
  <si>
    <t>정윤희</t>
  </si>
  <si>
    <t>1952.08.30</t>
  </si>
  <si>
    <t>최희수</t>
  </si>
  <si>
    <t>1950.06.05</t>
  </si>
  <si>
    <t>권정숙</t>
  </si>
  <si>
    <t>1940.01.25</t>
  </si>
  <si>
    <t>김영란</t>
  </si>
  <si>
    <t>1957.01.25</t>
  </si>
  <si>
    <t>1956.08.25</t>
  </si>
  <si>
    <t>오윤균</t>
  </si>
  <si>
    <t>1961.06.10</t>
  </si>
  <si>
    <t>유우영</t>
  </si>
  <si>
    <t>1953.01.13</t>
  </si>
  <si>
    <t>이순희</t>
  </si>
  <si>
    <t>1949.05.02</t>
  </si>
  <si>
    <t>이옥자</t>
  </si>
  <si>
    <t>1954.10.17</t>
  </si>
  <si>
    <t>1961.05.01</t>
  </si>
  <si>
    <t>조춘아</t>
  </si>
  <si>
    <t>1958.02.22</t>
  </si>
  <si>
    <t>한영숙</t>
  </si>
  <si>
    <t>1957.03.25</t>
  </si>
  <si>
    <t>한정순</t>
  </si>
  <si>
    <t>1945.05.23</t>
  </si>
  <si>
    <t>이한옥</t>
  </si>
  <si>
    <t>1961.12.18</t>
  </si>
  <si>
    <t>김지영</t>
  </si>
  <si>
    <t>1982.11.11</t>
  </si>
  <si>
    <t>김진수</t>
  </si>
  <si>
    <t>김혜자</t>
  </si>
  <si>
    <t>1954.11.07</t>
  </si>
  <si>
    <t>안순옥</t>
  </si>
  <si>
    <t>1965.03.17</t>
  </si>
  <si>
    <t>이금순</t>
  </si>
  <si>
    <t>1956.02.03</t>
  </si>
  <si>
    <t>김창분</t>
  </si>
  <si>
    <t>1955.02.01</t>
  </si>
  <si>
    <t>박부원</t>
  </si>
  <si>
    <t>1959.04.05</t>
  </si>
  <si>
    <t>손기숙</t>
  </si>
  <si>
    <t>1952.01.17</t>
  </si>
  <si>
    <t>안중호</t>
  </si>
  <si>
    <t>1969.11.14</t>
  </si>
  <si>
    <t>이은임</t>
  </si>
  <si>
    <t>1967.03.26</t>
  </si>
  <si>
    <t>장영임</t>
  </si>
  <si>
    <t>1958.08.15</t>
  </si>
  <si>
    <t>정현주</t>
  </si>
  <si>
    <t>1957.07.02</t>
  </si>
  <si>
    <t>조훈태</t>
  </si>
  <si>
    <t>1954.07.22</t>
  </si>
  <si>
    <t>한복례</t>
  </si>
  <si>
    <t>1974.05.20</t>
  </si>
  <si>
    <t>하순선</t>
  </si>
  <si>
    <t>1957.05.20</t>
  </si>
  <si>
    <t>이기례</t>
  </si>
  <si>
    <t>1945.06.30</t>
  </si>
  <si>
    <t>조정금</t>
  </si>
  <si>
    <t>1945.04.08</t>
  </si>
  <si>
    <t>최희선</t>
  </si>
  <si>
    <t>1966.04.02</t>
  </si>
  <si>
    <t>밸리댄스</t>
    <phoneticPr fontId="2" type="noConversion"/>
  </si>
  <si>
    <t>영어회화(초급)</t>
    <phoneticPr fontId="2" type="noConversion"/>
  </si>
  <si>
    <t>여성</t>
    <phoneticPr fontId="26" type="noConversion"/>
  </si>
  <si>
    <t>이진원</t>
  </si>
  <si>
    <t>1948.05.19</t>
  </si>
  <si>
    <t>김미란</t>
  </si>
  <si>
    <t>정성희</t>
  </si>
  <si>
    <t>최성이</t>
  </si>
  <si>
    <t>1969.06.05</t>
  </si>
  <si>
    <t>1937.11.24</t>
  </si>
  <si>
    <t>1961.01.23</t>
  </si>
  <si>
    <t>정규향</t>
  </si>
  <si>
    <t>최미자</t>
  </si>
  <si>
    <t>1950.08.08</t>
  </si>
  <si>
    <t>1947.07.05</t>
  </si>
  <si>
    <t>1940.03.10</t>
  </si>
  <si>
    <t>김분이</t>
  </si>
  <si>
    <t>연미숙</t>
  </si>
  <si>
    <t>오경숙</t>
  </si>
  <si>
    <t>1945.07.25</t>
  </si>
  <si>
    <t>1963.01.02</t>
  </si>
  <si>
    <t>1968.02.13</t>
  </si>
  <si>
    <t>김기봉</t>
  </si>
  <si>
    <t>김덕례</t>
  </si>
  <si>
    <t>김진숙</t>
  </si>
  <si>
    <t>노정순</t>
  </si>
  <si>
    <t>박순덕</t>
  </si>
  <si>
    <t>박영이</t>
  </si>
  <si>
    <t>신언균</t>
  </si>
  <si>
    <t>이화순</t>
  </si>
  <si>
    <t>장순희</t>
  </si>
  <si>
    <t>황윤선</t>
  </si>
  <si>
    <t>1941.04.04</t>
  </si>
  <si>
    <t>1954.04.02</t>
  </si>
  <si>
    <t>1957.01.10</t>
  </si>
  <si>
    <t>1947.07.07</t>
  </si>
  <si>
    <t>1960.03.30</t>
  </si>
  <si>
    <t>1952.04.30</t>
  </si>
  <si>
    <t>1954.05.18</t>
  </si>
  <si>
    <t>1939.12.22</t>
  </si>
  <si>
    <t>1946.05.15</t>
  </si>
  <si>
    <t>1949.06.16</t>
  </si>
  <si>
    <t>김기자</t>
  </si>
  <si>
    <t>배계연</t>
  </si>
  <si>
    <t>1968.11.28</t>
  </si>
  <si>
    <t>1950.01.30</t>
  </si>
  <si>
    <t>박순이</t>
  </si>
  <si>
    <t>박치순</t>
  </si>
  <si>
    <t>1961.10.20</t>
  </si>
  <si>
    <t>1952.03.10</t>
  </si>
  <si>
    <t>1962.07.28</t>
  </si>
  <si>
    <t>김명환</t>
  </si>
  <si>
    <t>김영희</t>
  </si>
  <si>
    <t>박흥규</t>
  </si>
  <si>
    <t>정운천</t>
  </si>
  <si>
    <t>1949.11.14</t>
  </si>
  <si>
    <t>1957.08.25</t>
  </si>
  <si>
    <t>1957.10.09</t>
  </si>
  <si>
    <t>1961.05.29</t>
  </si>
  <si>
    <t>최영란</t>
  </si>
  <si>
    <t>1953.09.24</t>
  </si>
  <si>
    <t>윤민자</t>
  </si>
  <si>
    <t>이상재</t>
  </si>
  <si>
    <t>이영자</t>
  </si>
  <si>
    <t>이옥화</t>
  </si>
  <si>
    <t>1957.01.05</t>
  </si>
  <si>
    <t>1944.01.20</t>
  </si>
  <si>
    <t>1966.09.10</t>
  </si>
  <si>
    <t>송복순</t>
  </si>
  <si>
    <t>한규석</t>
  </si>
  <si>
    <t>1960.07.01</t>
  </si>
  <si>
    <t>1957.04.01</t>
  </si>
  <si>
    <t>안영순</t>
  </si>
  <si>
    <t>양노식</t>
  </si>
  <si>
    <t>1948.02.12</t>
  </si>
  <si>
    <t>1959.12.10</t>
  </si>
  <si>
    <t>수강 내용이 충실하고 만족스럽다</t>
    <phoneticPr fontId="2" type="noConversion"/>
  </si>
  <si>
    <t xml:space="preserve">	기본개념에 대한 설명이 좋았고 이해에 도움이 되었습니다.</t>
    <phoneticPr fontId="2" type="noConversion"/>
  </si>
  <si>
    <t xml:space="preserve">	컴퓨터가 낡아서 간혹 힘들다</t>
    <phoneticPr fontId="2" type="noConversion"/>
  </si>
  <si>
    <t>교육강사가 열정적이고 질문에 상세하고 친절하게 설명해주신다.너무고맙다</t>
    <phoneticPr fontId="2" type="noConversion"/>
  </si>
  <si>
    <t>추첨하지않고 신청하면다할수있으면 좋겠습니다</t>
    <phoneticPr fontId="2" type="noConversion"/>
  </si>
  <si>
    <t>경쟁률이 심합니다.</t>
    <phoneticPr fontId="2" type="noConversion"/>
  </si>
  <si>
    <t>컴퓨터랑 칠판이 너무 오래되서 쓰기 불편해요</t>
  </si>
  <si>
    <t>자격증반 수업은 자격증 취득이 가능한 정도의 수업이 될 수 있을 만큼의 수업시간이 필요할 것 같습니다. 현재는 많이 부족한 듯합니다.</t>
    <phoneticPr fontId="2" type="noConversion"/>
  </si>
  <si>
    <t xml:space="preserve">	이론수업도 했으면 좋겠습니다</t>
    <phoneticPr fontId="2" type="noConversion"/>
  </si>
  <si>
    <t>교육 덕분에 컴퓨터 실제 사용 범위가 넓어져 만족스럽습니다.</t>
    <phoneticPr fontId="2" type="noConversion"/>
  </si>
  <si>
    <t>자격증 과정이니 필기 수업도 함께 하면 좋겠습니다.</t>
    <phoneticPr fontId="2" type="noConversion"/>
  </si>
  <si>
    <t>컴활2급실기 자격증과정에서 주2시간수업은 너무 빠듯한거 같아요. 필기수업도 병행하고 강의시간을 늘렸으면 좋겠습니다.</t>
    <phoneticPr fontId="2" type="noConversion"/>
  </si>
  <si>
    <t>컴활능력 필기시험과정도 함께 배울 수 있었으면 좋겠습니다.</t>
    <phoneticPr fontId="2" type="noConversion"/>
  </si>
  <si>
    <t>실기만 했는데 필기도 했으면 더욱 좋을 뻔 했습니다</t>
    <phoneticPr fontId="2" type="noConversion"/>
  </si>
  <si>
    <t>철학과 종교에 관한 강좌 개설을 원합니다.</t>
    <phoneticPr fontId="2" type="noConversion"/>
  </si>
  <si>
    <t xml:space="preserve">	짧은 시간이지만 조금이라도 서로 영어로 대화할수 있어 좋다</t>
    <phoneticPr fontId="2" type="noConversion"/>
  </si>
  <si>
    <t>같은 방향성의 학습을 통해 사람간 친밀감을 조금이나마 느낄 수 있어서 좋습니다. 그런데 분기 마다 끊기며 지속성이 없는게 아쉽네요. 조금만 더 연속성이 있으면 좋겠다는 견해입니다.</t>
    <phoneticPr fontId="2" type="noConversion"/>
  </si>
  <si>
    <t>요가 시간을 오전으로 변경해 주시면 감사하겠습니다~~</t>
    <phoneticPr fontId="2" type="noConversion"/>
  </si>
  <si>
    <t>한학기마다 추첨하기보다 영어회화는 일년 고정되어야 선생님이 학생들의 발천을 볼수 있습니다. 참고해주세요!</t>
    <phoneticPr fontId="2" type="noConversion"/>
  </si>
  <si>
    <t>알차요^^</t>
    <phoneticPr fontId="2" type="noConversion"/>
  </si>
  <si>
    <t>추첨방식때문에 연속성이 없다 그래서 실효성이 떨어진다.</t>
    <phoneticPr fontId="2" type="noConversion"/>
  </si>
  <si>
    <t>원어민강사의 수업이 마우 좋습니다!</t>
    <phoneticPr fontId="2" type="noConversion"/>
  </si>
  <si>
    <t>유익한 배움의 시간 이였습니다</t>
    <phoneticPr fontId="2" type="noConversion"/>
  </si>
  <si>
    <t>모든것이 좋아요 특히 강사선생님이 자상하고 친절 하셔서 좋아요</t>
    <phoneticPr fontId="2" type="noConversion"/>
  </si>
  <si>
    <t>선생님 재미있게가르켜주셔서 감사합니다</t>
    <phoneticPr fontId="2" type="noConversion"/>
  </si>
  <si>
    <t>라인댄스읜원을늘려주세요</t>
    <phoneticPr fontId="2" type="noConversion"/>
  </si>
  <si>
    <t>요시간대에 진행하는 요가수업이 정말 좋습니다. 이시간의 요가수업이 계속되길 희망합니다.</t>
    <phoneticPr fontId="2" type="noConversion"/>
  </si>
  <si>
    <t>건강을 지켜주는 프로그램이므로 지속카능할 수 있기를 바랍니다</t>
    <phoneticPr fontId="2" type="noConversion"/>
  </si>
  <si>
    <t>자세교정이 되느기분</t>
    <phoneticPr fontId="2" type="noConversion"/>
  </si>
  <si>
    <t>요가를 하면서 안 썻던 근육을 사용 했더니 유연성이 생겨서 좋앟다 앞으로도 계속 했으면 한다.</t>
    <phoneticPr fontId="2" type="noConversion"/>
  </si>
  <si>
    <t>직장인들이 할 수 있는 프로그램을 더 활성화 해 주기를 바랍니다</t>
    <phoneticPr fontId="2" type="noConversion"/>
  </si>
  <si>
    <t>공기청정제를 가동하길 원합니다</t>
    <phoneticPr fontId="2" type="noConversion"/>
  </si>
  <si>
    <t>요가수업이저에게는 만성불면증이 완화가도고 수면에질이향상되었습니다 넘감사합니다</t>
    <phoneticPr fontId="2" type="noConversion"/>
  </si>
  <si>
    <t>요가시간이너무늦어요 바닥환경이 조금더청결했으면합니다</t>
    <phoneticPr fontId="2" type="noConversion"/>
  </si>
  <si>
    <t>강사님의 수업은 좋았지만 작년처럼 요가시간을 오전으로으로 해줬으면한다</t>
    <phoneticPr fontId="2" type="noConversion"/>
  </si>
  <si>
    <t>이시간대에 요가 수업이 정말 필요합니다.퇴근후 저녁전에 이뤄지는 수업시간이 유지되기를 희망합니다.</t>
    <phoneticPr fontId="2" type="noConversion"/>
  </si>
  <si>
    <t>지속 가능한 강좌로 되었으면 좋겠습니다</t>
    <phoneticPr fontId="2" type="noConversion"/>
  </si>
  <si>
    <t>기간을 좀 더 길게 가지면 좋겠습니다. 상반기 하반기</t>
    <phoneticPr fontId="2" type="noConversion"/>
  </si>
  <si>
    <t>1주일에 한번 수업있는게 아쉬울 정도로 너무 좋은 시간입니다.</t>
    <phoneticPr fontId="2" type="noConversion"/>
  </si>
  <si>
    <t>도움은 생활에 활력이 생겼다 개선 할 점은 음향기기의 앰프 손을 봐주던 좀 좋은것으로 교체해 주셨으면 합니다.</t>
    <phoneticPr fontId="2" type="noConversion"/>
  </si>
  <si>
    <t>지하라 공기가 탁하므로 공기 청정기를 설치해주시면 회원님들의 건강에 도움이 될 것 같습니다</t>
    <phoneticPr fontId="2" type="noConversion"/>
  </si>
  <si>
    <t>항상 즐거운 시간을 보내서 너무 좋습니다</t>
    <phoneticPr fontId="2" type="noConversion"/>
  </si>
  <si>
    <t>탁구 있으면 좋겠습니다</t>
    <phoneticPr fontId="2" type="noConversion"/>
  </si>
  <si>
    <t>열심히 잘배우고 있습니다 재미있어요</t>
    <phoneticPr fontId="2" type="noConversion"/>
  </si>
  <si>
    <t>본인은 힐링 가요교실에서 교육을 받고 있는데 회기때마다 추첨과 탈락이 반복되어 연관성이 없다 최소한 1년은 계속 교육을 받을수 있게 개선해 주시기 바랍니다.</t>
    <phoneticPr fontId="2" type="noConversion"/>
  </si>
  <si>
    <t>힐링되었습니다.</t>
    <phoneticPr fontId="2" type="noConversion"/>
  </si>
  <si>
    <t>스트레스 해소와 면역력 증진에 큰 도움이 된것같아 좋습니다</t>
    <phoneticPr fontId="2" type="noConversion"/>
  </si>
  <si>
    <t>배울수 있게 기회를 주심에 감사하며 경쟁율이 많은 라인댄스는 레벨을 올려서 한반을 더 만들면 좋겠습니다~</t>
    <phoneticPr fontId="2" type="noConversion"/>
  </si>
  <si>
    <t>열성적으로 잘 가르쳐주십니다</t>
    <phoneticPr fontId="2" type="noConversion"/>
  </si>
  <si>
    <t>매번 분기 마다 추천하는게 힘듭니다 다음에 떨어질까 걱정하면서 기다리는게 힘들어요</t>
    <phoneticPr fontId="2" type="noConversion"/>
  </si>
  <si>
    <t xml:space="preserve">	노래교실 즐겁고 힐링 이되었습니다 악기 배우는 거 우쿨렐레 도하고 다른악기도 배우게 해주시면감사하겠습니다</t>
    <phoneticPr fontId="2" type="noConversion"/>
  </si>
  <si>
    <t xml:space="preserve">	만족합니다</t>
    <phoneticPr fontId="2" type="noConversion"/>
  </si>
  <si>
    <t>관리자들이 좀더 예민하게 환경체크가 되었으면 더욱 좋겠습니다. 학습진행자가 수업에 집중할수있게..</t>
    <phoneticPr fontId="2" type="noConversion"/>
  </si>
  <si>
    <t xml:space="preserve">	건강에도움이만아서매우만족합니다</t>
    <phoneticPr fontId="2" type="noConversion"/>
  </si>
  <si>
    <t xml:space="preserve">	매우 좋아요</t>
    <phoneticPr fontId="2" type="noConversion"/>
  </si>
  <si>
    <t>많은인원충원해주세요</t>
    <phoneticPr fontId="2" type="noConversion"/>
  </si>
  <si>
    <t xml:space="preserve">	강사님물론다들친절해서만남이좋았습니다</t>
    <phoneticPr fontId="2" type="noConversion"/>
  </si>
  <si>
    <t>운동 삼아서 해야지 하고 시작 했는데 너무나 재미있고 생활에 활력이 생겨서 대 만족 스럽습니다.</t>
    <phoneticPr fontId="2" type="noConversion"/>
  </si>
  <si>
    <t>항상 너무너무 아름답고 행복합니다.</t>
    <phoneticPr fontId="2" type="noConversion"/>
  </si>
  <si>
    <t>연령이 너무 않으신분은 참여 하는데 창고해주엇으면 하는 바램 노인복지관이 잇는데 구분을 주엇으면 80대 다되신분은 넘어질까 우려 되어서</t>
    <phoneticPr fontId="2" type="noConversion"/>
  </si>
  <si>
    <t>한국무용 난타 사물노이 같은 다양한 프로가 생기면 좋을거라 생각 합니다</t>
    <phoneticPr fontId="2" type="noConversion"/>
  </si>
  <si>
    <t>라인댄스 윤선 샘 항상친절해서좋아요</t>
    <phoneticPr fontId="2" type="noConversion"/>
  </si>
  <si>
    <t>강사님이너무적극적으로열심히가르치심니다</t>
    <phoneticPr fontId="2" type="noConversion"/>
  </si>
  <si>
    <t>좋아요</t>
    <phoneticPr fontId="2" type="noConversion"/>
  </si>
  <si>
    <t>좀더 많은 인원을 수용했으면 좋겠다 밸런스워킹을 꼭 유지했으면 싶다</t>
    <phoneticPr fontId="2" type="noConversion"/>
  </si>
  <si>
    <t>가까워서 매우만족합니다</t>
    <phoneticPr fontId="2" type="noConversion"/>
  </si>
  <si>
    <t>악기 기타 수업도 개설되었으면 합니다</t>
    <phoneticPr fontId="2" type="noConversion"/>
  </si>
  <si>
    <t>자세하게 잘 가르쳐 주셔서 새로운 것도 많이 배웠습니다</t>
    <phoneticPr fontId="2" type="noConversion"/>
  </si>
  <si>
    <t>중급반과 고급반 개설</t>
    <phoneticPr fontId="2" type="noConversion"/>
  </si>
  <si>
    <t>강의실 환경개선</t>
    <phoneticPr fontId="2" type="noConversion"/>
  </si>
  <si>
    <t>현재시스템에 만족</t>
    <phoneticPr fontId="2" type="noConversion"/>
  </si>
  <si>
    <t>우쿠렐레 수업의 선발 경쟁이 심하여 수업을 늘렸으면 좋겠습니다. 악기도 구입했는데 3개월 배우고 더 못 하게 되면 아쉬울것 같습니다.</t>
    <phoneticPr fontId="2" type="noConversion"/>
  </si>
  <si>
    <t xml:space="preserve">	좋은선생님과 좋은프로그램으로 초대해주심 감사드림니다.</t>
    <phoneticPr fontId="2" type="noConversion"/>
  </si>
  <si>
    <t>70넘은 나이에 밸리라는 너무 좋은 운동을 할수 있어서 너무 좋습니다, 생활의 활력소가 되고 체력도 좋아지는거 같아요~ 좋은음악과 율동으로 즐겁게 살수있게 해주시는 우리나라 짱!</t>
    <phoneticPr fontId="2" type="noConversion"/>
  </si>
  <si>
    <t xml:space="preserve">	모든 면에서 좋아요</t>
    <phoneticPr fontId="2" type="noConversion"/>
  </si>
  <si>
    <t>밸리댄스 너무 재밌어요 계속하게 해주세요</t>
    <phoneticPr fontId="2" type="noConversion"/>
  </si>
  <si>
    <t>매우 만족합니다</t>
    <phoneticPr fontId="2" type="noConversion"/>
  </si>
  <si>
    <t>강의실이 넓어서매우좋음 거울이 뒤에도 있었음좋겠읍니당</t>
    <phoneticPr fontId="2" type="noConversion"/>
  </si>
  <si>
    <t xml:space="preserve">	즐겁다</t>
    <phoneticPr fontId="2" type="noConversion"/>
  </si>
  <si>
    <t xml:space="preserve">	너무 열심히 하십니다</t>
    <phoneticPr fontId="2" type="noConversion"/>
  </si>
  <si>
    <t xml:space="preserve">	재밌어요 뱃살빼기에 도움됩니다</t>
    <phoneticPr fontId="2" type="noConversion"/>
  </si>
  <si>
    <t>유능하신 선생님 모셔서 도움이 많이 되었어요~~내년에도 꼭 참여할수 있었으면 행복한 노년생활 할수있을거 같아요 감사합니다~~ 선생님이 친절하시고 신인 들도 용기를 줬어요~</t>
    <phoneticPr fontId="2" type="noConversion"/>
  </si>
  <si>
    <t>다양한 프로그램이 생기면 좋을것같아요</t>
    <phoneticPr fontId="2" type="noConversion"/>
  </si>
  <si>
    <t xml:space="preserve">	좋아요</t>
    <phoneticPr fontId="2" type="noConversion"/>
  </si>
  <si>
    <t>늘 만족 스러운 프로 라고생각 합니다 생활에 활력소 가 많이 됩니다.</t>
    <phoneticPr fontId="2" type="noConversion"/>
  </si>
  <si>
    <t>선생님의 전문적인 설명과 수업진행이 너무 좋아요,밸리운동을 하다보니까 생활이 즐겁고 너무 좋습니다~ 행정복지가 잘되어 있어서 감사하고 너무 행복 합니다: 열심히 하겠습니다</t>
    <phoneticPr fontId="2" type="noConversion"/>
  </si>
  <si>
    <t xml:space="preserve">	밸리댄스 시작하고 건강해지고 활기있어졌어요 계속 밸리댄스 하고싶어요</t>
    <phoneticPr fontId="2" type="noConversion"/>
  </si>
  <si>
    <r>
      <rPr>
        <sz val="10"/>
        <color rgb="FF212121"/>
        <rFont val="맑은 고딕"/>
        <family val="2"/>
        <charset val="129"/>
      </rPr>
      <t>적극적으로</t>
    </r>
    <r>
      <rPr>
        <sz val="10"/>
        <color rgb="FF212121"/>
        <rFont val="Arial"/>
        <family val="2"/>
      </rPr>
      <t xml:space="preserve"> </t>
    </r>
    <r>
      <rPr>
        <sz val="10"/>
        <color rgb="FF212121"/>
        <rFont val="맑은 고딕"/>
        <family val="2"/>
        <charset val="129"/>
      </rPr>
      <t>임해주시고</t>
    </r>
    <r>
      <rPr>
        <sz val="10"/>
        <color rgb="FF212121"/>
        <rFont val="Arial"/>
        <family val="2"/>
      </rPr>
      <t xml:space="preserve"> </t>
    </r>
    <r>
      <rPr>
        <sz val="10"/>
        <color rgb="FF212121"/>
        <rFont val="맑은 고딕"/>
        <family val="2"/>
        <charset val="129"/>
      </rPr>
      <t>초보자들도</t>
    </r>
    <r>
      <rPr>
        <sz val="10"/>
        <color rgb="FF212121"/>
        <rFont val="Arial"/>
        <family val="2"/>
      </rPr>
      <t xml:space="preserve"> </t>
    </r>
    <r>
      <rPr>
        <sz val="10"/>
        <color rgb="FF212121"/>
        <rFont val="맑은 고딕"/>
        <family val="2"/>
        <charset val="129"/>
      </rPr>
      <t>관심과</t>
    </r>
    <r>
      <rPr>
        <sz val="10"/>
        <color rgb="FF212121"/>
        <rFont val="Arial"/>
        <family val="2"/>
      </rPr>
      <t xml:space="preserve"> </t>
    </r>
    <r>
      <rPr>
        <sz val="10"/>
        <color rgb="FF212121"/>
        <rFont val="맑은 고딕"/>
        <family val="2"/>
        <charset val="129"/>
      </rPr>
      <t>용기를</t>
    </r>
    <r>
      <rPr>
        <sz val="10"/>
        <color rgb="FF212121"/>
        <rFont val="Arial"/>
        <family val="2"/>
      </rPr>
      <t xml:space="preserve"> </t>
    </r>
    <r>
      <rPr>
        <sz val="10"/>
        <color rgb="FF212121"/>
        <rFont val="맑은 고딕"/>
        <family val="2"/>
        <charset val="129"/>
      </rPr>
      <t>주시고</t>
    </r>
    <r>
      <rPr>
        <sz val="10"/>
        <color rgb="FF212121"/>
        <rFont val="Arial"/>
        <family val="2"/>
      </rPr>
      <t xml:space="preserve"> </t>
    </r>
    <r>
      <rPr>
        <sz val="10"/>
        <color rgb="FF212121"/>
        <rFont val="맑은 고딕"/>
        <family val="2"/>
        <charset val="129"/>
      </rPr>
      <t>환하신</t>
    </r>
    <r>
      <rPr>
        <sz val="10"/>
        <color rgb="FF212121"/>
        <rFont val="Arial"/>
        <family val="2"/>
      </rPr>
      <t xml:space="preserve"> </t>
    </r>
    <r>
      <rPr>
        <sz val="10"/>
        <color rgb="FF212121"/>
        <rFont val="맑은 고딕"/>
        <family val="2"/>
        <charset val="129"/>
      </rPr>
      <t>모습으로</t>
    </r>
    <r>
      <rPr>
        <sz val="10"/>
        <color rgb="FF212121"/>
        <rFont val="Arial"/>
        <family val="2"/>
      </rPr>
      <t xml:space="preserve"> </t>
    </r>
    <r>
      <rPr>
        <sz val="10"/>
        <color rgb="FF212121"/>
        <rFont val="맑은 고딕"/>
        <family val="2"/>
        <charset val="129"/>
      </rPr>
      <t>생기가</t>
    </r>
    <r>
      <rPr>
        <sz val="10"/>
        <color rgb="FF212121"/>
        <rFont val="Arial"/>
        <family val="2"/>
      </rPr>
      <t xml:space="preserve"> </t>
    </r>
    <r>
      <rPr>
        <sz val="10"/>
        <color rgb="FF212121"/>
        <rFont val="맑은 고딕"/>
        <family val="2"/>
        <charset val="129"/>
      </rPr>
      <t>있으시고</t>
    </r>
    <r>
      <rPr>
        <sz val="10"/>
        <color rgb="FF212121"/>
        <rFont val="Arial"/>
        <family val="2"/>
      </rPr>
      <t xml:space="preserve"> </t>
    </r>
    <r>
      <rPr>
        <sz val="10"/>
        <color rgb="FF212121"/>
        <rFont val="맑은 고딕"/>
        <family val="2"/>
        <charset val="129"/>
      </rPr>
      <t>훌륭한선생님께</t>
    </r>
    <r>
      <rPr>
        <sz val="10"/>
        <color rgb="FF212121"/>
        <rFont val="Arial"/>
        <family val="2"/>
      </rPr>
      <t xml:space="preserve"> </t>
    </r>
    <r>
      <rPr>
        <sz val="10"/>
        <color rgb="FF212121"/>
        <rFont val="맑은 고딕"/>
        <family val="2"/>
        <charset val="129"/>
      </rPr>
      <t>감사드립니다</t>
    </r>
    <r>
      <rPr>
        <sz val="10"/>
        <color rgb="FF212121"/>
        <rFont val="Arial"/>
        <family val="2"/>
      </rPr>
      <t>~~</t>
    </r>
    <phoneticPr fontId="2" type="noConversion"/>
  </si>
  <si>
    <t>넓은강의실에 만족합니다</t>
    <phoneticPr fontId="2" type="noConversion"/>
  </si>
  <si>
    <t>가까이배움터 수강생은 수강시간동안 공영주차비를 면제해주면 좋겠습니다.</t>
    <phoneticPr fontId="2" type="noConversion"/>
  </si>
  <si>
    <t>시니어들이만은운동인데강사님의차별대우로상처받고못나온분들이다반수입니다새로은강사님을원합니다</t>
    <phoneticPr fontId="2" type="noConversion"/>
  </si>
  <si>
    <t>너무너무 즐겁고 행복합니다.이렇게배움에즐거움 을 누리게 해주심 에 관계부처에 감사드립니다.</t>
  </si>
  <si>
    <t>스포츠댄스 많은 운동에 도움이되는거같아 너무좋아요 강사님께서도 열심히 지도해주셔서 감사드립니다</t>
    <phoneticPr fontId="2" type="noConversion"/>
  </si>
  <si>
    <t>댄스스포츠 강사님의 자세한 설명으로 이해가 쉽고 수업내용이 알차고 즐겁습니다</t>
    <phoneticPr fontId="2" type="noConversion"/>
  </si>
  <si>
    <t>시니어 초보자</t>
    <phoneticPr fontId="2" type="noConversion"/>
  </si>
  <si>
    <t xml:space="preserve">	초급,중급으로 분반 운영이 필요합니다</t>
    <phoneticPr fontId="2" type="noConversion"/>
  </si>
  <si>
    <t>강사님이 매우 뛰어난 분입니다</t>
    <phoneticPr fontId="2" type="noConversion"/>
  </si>
  <si>
    <t>건강을 위해서 좋은 프로그램 인것같습니다</t>
    <phoneticPr fontId="2" type="noConversion"/>
  </si>
  <si>
    <t xml:space="preserve">	매우 건강에도움이</t>
    <phoneticPr fontId="2" type="noConversion"/>
  </si>
  <si>
    <t>일본어 강좌를 여러 지역에 개설해 주세요.</t>
    <phoneticPr fontId="2" type="noConversion"/>
  </si>
  <si>
    <t xml:space="preserve">	악기 기타 수업이 있으면 좋겠습니다</t>
    <phoneticPr fontId="2" type="noConversion"/>
  </si>
  <si>
    <t>노인연령대 운동으로 매우 만족합니다 다시 강의했으며 좋겠습니다</t>
    <phoneticPr fontId="2" type="noConversion"/>
  </si>
  <si>
    <t>몸이 가벼워 지는거 같아요</t>
    <phoneticPr fontId="2" type="noConversion"/>
  </si>
  <si>
    <t>밸런스워킹 아주 좋은 운동입니다. 이강좌 계속 할 수 있스면 좋겠어요.</t>
    <phoneticPr fontId="2" type="noConversion"/>
  </si>
  <si>
    <t>아주 만족합니다. 도움이 많이 됩니다 평생학습이 계속하였으면 좋겠습니다.</t>
    <phoneticPr fontId="2" type="noConversion"/>
  </si>
  <si>
    <t>회원 모두가 만족하고 우리같이 나이가 있는 사람들에게 좋은 운동 강좌인데 없어지는 것이 이해 할수없고 강사님 열의 가지고 강의 하시는데 왜 없어지는 것인가요?</t>
    <phoneticPr fontId="2" type="noConversion"/>
  </si>
  <si>
    <t>밸런스워킹은 유산소운동과 근력운동 기억력 향상에 많은도움이 되었고 디스크로 고생했는데 허리기립근강화로 수술 않할 정도로회복 건강해졌음을 확실히 체득 ...강추합니다</t>
    <phoneticPr fontId="2" type="noConversion"/>
  </si>
  <si>
    <t>운동 계속할수있게 되길 바랍니다.</t>
    <phoneticPr fontId="2" type="noConversion"/>
  </si>
  <si>
    <t>발란스워킹pt수업 계속 받고싶네요</t>
    <phoneticPr fontId="2" type="noConversion"/>
  </si>
  <si>
    <t>벨런스워킹 계속할수있게 해주세요 선생님이 아주열정적으로가르치세요 저희도건강에도움 많이받아요</t>
    <phoneticPr fontId="2" type="noConversion"/>
  </si>
  <si>
    <t>강사님의 열정적인 수업으로 생활체육의 중요성을 다시한번 실감하고있고 근력이 향상되고있음을 몸으로 체험하고있다</t>
    <phoneticPr fontId="2" type="noConversion"/>
  </si>
  <si>
    <t xml:space="preserve">	없어져서는인돠는 프로그램 입니다저는허리디스크로 고생하는사라입니다운동후서서히.좋아지보있담니다</t>
    <phoneticPr fontId="2" type="noConversion"/>
  </si>
  <si>
    <t>무료 한글교실같은 좋은 프로그램을 가까이에서 참여할 수 있어서 너무 좋습니나.</t>
    <phoneticPr fontId="2" type="noConversion"/>
  </si>
  <si>
    <t>치매 예방하려고 열심히 침여하고 있습니다. 나이 많은 사람위해서 참여할 수 이런 강좌가 있어 너무 좋습니다.</t>
    <phoneticPr fontId="2" type="noConversion"/>
  </si>
  <si>
    <t>배움에 의미있는 것이기에, 너무나 감사하고, 보람을 느낌니다</t>
    <phoneticPr fontId="2" type="noConversion"/>
  </si>
  <si>
    <t>재미이습니다</t>
    <phoneticPr fontId="2" type="noConversion"/>
  </si>
  <si>
    <t>다양한 프로그램이 많이 있으면해요 기타교실 초보영어회화교실 등 있으면해요 1</t>
    <phoneticPr fontId="2" type="noConversion"/>
  </si>
  <si>
    <t>재미있게 잘가르쳐 주셔서 감사합니다</t>
    <phoneticPr fontId="2" type="noConversion"/>
  </si>
  <si>
    <t xml:space="preserve">	팝송듣기에 도움이 되었습니다</t>
    <phoneticPr fontId="2" type="noConversion"/>
  </si>
  <si>
    <t>당첨 안될 확율이 있어서 매우 불만족…</t>
    <phoneticPr fontId="2" type="noConversion"/>
  </si>
  <si>
    <t>샘이 전문지식이 많아 유익합니다.</t>
    <phoneticPr fontId="2" type="noConversion"/>
  </si>
  <si>
    <t>늦게나마 배울수있게 되어서 참 좋다</t>
    <phoneticPr fontId="2" type="noConversion"/>
  </si>
  <si>
    <t>강사님이 어르신들의 눈높이에 맞춰서 준비해오시는 수업자료들이 다양하고, 친근하면서도 적극적인 수업에 항상 감사하고있고 다음기회 에도 꼭 수업에 참여하고싶습니다</t>
    <phoneticPr fontId="2" type="noConversion"/>
  </si>
  <si>
    <t>학생 더 뽐야지 많이 배움터 공부을 하도록 앞으로 부탁드립니다</t>
    <phoneticPr fontId="2" type="noConversion"/>
  </si>
  <si>
    <t xml:space="preserve">	컴퓨터를좀개선했으면좋게습니다</t>
    <phoneticPr fontId="2" type="noConversion"/>
  </si>
  <si>
    <t>폰사용법에 대하여 자세히 알수 있어 좋았어요</t>
    <phoneticPr fontId="2" type="noConversion"/>
  </si>
  <si>
    <t>컴퓨터와 휴대폰을 동시에 가르쳐 주시니 도움이 되었어요</t>
    <phoneticPr fontId="2" type="noConversion"/>
  </si>
  <si>
    <t>컴퓨터 교육시작동이잘않됨</t>
    <phoneticPr fontId="2" type="noConversion"/>
  </si>
  <si>
    <t>폰사용법 배울수있어서 좋았습니다</t>
    <phoneticPr fontId="2" type="noConversion"/>
  </si>
  <si>
    <t>폰과 컴퓨터 모르는것을 배울수 있어좋았고 개선할점을 컴퓨터 마우스 작동이 잘되지 않아 불편했습니다</t>
    <phoneticPr fontId="2" type="noConversion"/>
  </si>
  <si>
    <t>생활에 도음이돼어읍니다</t>
    <phoneticPr fontId="2" type="noConversion"/>
  </si>
  <si>
    <t>빔이 너~무 흐려요 고처주세요</t>
    <phoneticPr fontId="2" type="noConversion"/>
  </si>
  <si>
    <t>설명이 상세하고 강사의 열성이 좋았습니다.</t>
    <phoneticPr fontId="2" type="noConversion"/>
  </si>
  <si>
    <t>폰 사용할때 잘모르는것 학습으로 배울수 있어서 좋았어요 컴퓨터는 마우스가 버벅거려 불편합니다</t>
    <phoneticPr fontId="2" type="noConversion"/>
  </si>
  <si>
    <t>모르는거 알겠금 해줘서 고맙지요</t>
    <phoneticPr fontId="2" type="noConversion"/>
  </si>
  <si>
    <t>실생할에 많은 도움받음</t>
    <phoneticPr fontId="2" type="noConversion"/>
  </si>
  <si>
    <t>선생님과 동료들로부터 운동과 치료에 대한 정보를 얻을 수 있어서 도움이 되었어요</t>
    <phoneticPr fontId="2" type="noConversion"/>
  </si>
  <si>
    <t>2026년 양촌읍 가까이배움터 정규강좌 1기 만족도 조사</t>
    <phoneticPr fontId="2" type="noConversion"/>
  </si>
  <si>
    <t>2026년 양촌읍 가까이배움터 정규강좌 1기  출석률 및 수료율</t>
    <phoneticPr fontId="2" type="noConversion"/>
  </si>
  <si>
    <t>2026년 양촌읍 가까이배움터 정규강좌 1기 만족도 조사 원본데이터</t>
    <phoneticPr fontId="2" type="noConversion"/>
  </si>
  <si>
    <t>한글&amp;엑셀 기초실무</t>
    <phoneticPr fontId="2" type="noConversion"/>
  </si>
  <si>
    <t>한문서예</t>
    <phoneticPr fontId="2" type="noConversion"/>
  </si>
  <si>
    <t>치매예방 미술 프로그램(연필스케치)</t>
    <phoneticPr fontId="2" type="noConversion"/>
  </si>
  <si>
    <t>댄스스포츠(중급)</t>
    <phoneticPr fontId="2" type="noConversion"/>
  </si>
  <si>
    <t>시니어건강 라인댄스</t>
    <phoneticPr fontId="2" type="noConversion"/>
  </si>
  <si>
    <t>시니어 건강체조</t>
    <phoneticPr fontId="2" type="noConversion"/>
  </si>
  <si>
    <t>컴퓨터&amp;스마트폰 기초(키오스크활용)</t>
    <phoneticPr fontId="2" type="noConversion"/>
  </si>
  <si>
    <t>곽은정</t>
  </si>
  <si>
    <t>김보경</t>
  </si>
  <si>
    <t>김아진</t>
  </si>
  <si>
    <t>문승연</t>
  </si>
  <si>
    <t>윤선애</t>
  </si>
  <si>
    <t>이다형</t>
  </si>
  <si>
    <t>이진남</t>
  </si>
  <si>
    <t>이혜원</t>
  </si>
  <si>
    <t>정인영</t>
  </si>
  <si>
    <t>천현진</t>
  </si>
  <si>
    <t>한유진</t>
  </si>
  <si>
    <t>1982.04.26</t>
  </si>
  <si>
    <t>1970.01.19</t>
  </si>
  <si>
    <t>2007.11.28</t>
  </si>
  <si>
    <t>2007.01.18</t>
  </si>
  <si>
    <t>1981.02.02</t>
  </si>
  <si>
    <t>2002.04.21</t>
  </si>
  <si>
    <t>1954.01.27</t>
  </si>
  <si>
    <t>1986.09.23</t>
  </si>
  <si>
    <t>1996.01.16</t>
  </si>
  <si>
    <t>1978.11.01</t>
  </si>
  <si>
    <t>1973.12.01</t>
  </si>
  <si>
    <t>구미옥</t>
  </si>
  <si>
    <t>박은경</t>
  </si>
  <si>
    <t>박지영</t>
  </si>
  <si>
    <t>조상민</t>
  </si>
  <si>
    <t>한은진</t>
  </si>
  <si>
    <t>1966.10.31</t>
  </si>
  <si>
    <t>1983.06.18</t>
  </si>
  <si>
    <t>1984.08.30</t>
  </si>
  <si>
    <t>1963.01.15</t>
  </si>
  <si>
    <t>곽명근</t>
  </si>
  <si>
    <t>김상욱</t>
  </si>
  <si>
    <t>김영원</t>
  </si>
  <si>
    <t>김지숙</t>
  </si>
  <si>
    <t>배민선</t>
  </si>
  <si>
    <t>백선옥</t>
  </si>
  <si>
    <t>안금자</t>
  </si>
  <si>
    <t>오진아</t>
  </si>
  <si>
    <t>유영애</t>
  </si>
  <si>
    <t>이정매</t>
  </si>
  <si>
    <t>조창수</t>
  </si>
  <si>
    <t>1957.01.30</t>
  </si>
  <si>
    <t>1958.02.28</t>
  </si>
  <si>
    <t>1957.02.22</t>
  </si>
  <si>
    <t>1970.09.24</t>
  </si>
  <si>
    <t>1979.09.10</t>
  </si>
  <si>
    <t>1956.06.10</t>
  </si>
  <si>
    <t>1952.06.26</t>
  </si>
  <si>
    <t>1991.12.11</t>
  </si>
  <si>
    <t>1979.01.25</t>
  </si>
  <si>
    <t>19701101</t>
  </si>
  <si>
    <t>1947.10.01</t>
  </si>
  <si>
    <t>PIAO ZHONGLAN</t>
  </si>
  <si>
    <t>김세연</t>
  </si>
  <si>
    <t>김영철</t>
  </si>
  <si>
    <t>김종협</t>
  </si>
  <si>
    <t>김현선</t>
  </si>
  <si>
    <t>김효희</t>
  </si>
  <si>
    <t>박성수</t>
  </si>
  <si>
    <t>송정희</t>
  </si>
  <si>
    <t>최현정</t>
  </si>
  <si>
    <t>1953.08.01</t>
  </si>
  <si>
    <t>1974.07.23</t>
  </si>
  <si>
    <t>1954.05.28</t>
  </si>
  <si>
    <t>1950.06.20</t>
  </si>
  <si>
    <t>1982.01.15</t>
  </si>
  <si>
    <t>1996.05.17</t>
  </si>
  <si>
    <t>1954.06.17</t>
  </si>
  <si>
    <t>1949.09.10</t>
  </si>
  <si>
    <t>1985.11.28</t>
  </si>
  <si>
    <t>민병덕</t>
  </si>
  <si>
    <t>안숙희</t>
  </si>
  <si>
    <t>최동휘</t>
  </si>
  <si>
    <t>1954.12.12</t>
  </si>
  <si>
    <t>1961.12.01</t>
  </si>
  <si>
    <t>1954.04.22</t>
  </si>
  <si>
    <t>강만석</t>
  </si>
  <si>
    <t>김미정</t>
  </si>
  <si>
    <t>김순덕</t>
  </si>
  <si>
    <t>김용숙</t>
  </si>
  <si>
    <t>김정순</t>
  </si>
  <si>
    <t>김정자</t>
  </si>
  <si>
    <t>문종숙</t>
  </si>
  <si>
    <t>박혜선</t>
  </si>
  <si>
    <t>박화</t>
  </si>
  <si>
    <t>변국선</t>
  </si>
  <si>
    <t>이미순</t>
  </si>
  <si>
    <t>최귀녀</t>
  </si>
  <si>
    <t>최종순</t>
  </si>
  <si>
    <t>한명희</t>
  </si>
  <si>
    <t>1947.04.27</t>
  </si>
  <si>
    <t>1960.05.21</t>
  </si>
  <si>
    <t>1947.12.25</t>
  </si>
  <si>
    <t>1952.05.10</t>
  </si>
  <si>
    <t>1951.03.05</t>
  </si>
  <si>
    <t>1946.12.31</t>
  </si>
  <si>
    <t>1969.05.15</t>
  </si>
  <si>
    <t>1961.12.24</t>
  </si>
  <si>
    <t>1954.05.17</t>
  </si>
  <si>
    <t>1940.03.06</t>
  </si>
  <si>
    <t>1958.05.02</t>
  </si>
  <si>
    <t>1956.11.01</t>
  </si>
  <si>
    <t>1947.02.21</t>
  </si>
  <si>
    <t>1953.01.16</t>
  </si>
  <si>
    <t>1959.10.03</t>
  </si>
  <si>
    <t>강현경</t>
  </si>
  <si>
    <t>김영애</t>
  </si>
  <si>
    <t>박찬미</t>
  </si>
  <si>
    <t>서현주</t>
  </si>
  <si>
    <t>신재현</t>
  </si>
  <si>
    <t>윤봉묵</t>
  </si>
  <si>
    <t>정도숙</t>
  </si>
  <si>
    <t>조연자</t>
  </si>
  <si>
    <t>조현필</t>
  </si>
  <si>
    <t>최승일</t>
  </si>
  <si>
    <t>1975.11.11</t>
  </si>
  <si>
    <t>1964.11.29</t>
  </si>
  <si>
    <t>1968.11.15</t>
  </si>
  <si>
    <t>1975.03.19</t>
  </si>
  <si>
    <t>1958.01.12</t>
  </si>
  <si>
    <t>1939.01.16</t>
  </si>
  <si>
    <t>1962.01.25</t>
  </si>
  <si>
    <t>1961.08.21</t>
  </si>
  <si>
    <t>1968.08.15</t>
  </si>
  <si>
    <t>1956.10.27</t>
  </si>
  <si>
    <t>김금옥</t>
  </si>
  <si>
    <t>김송월</t>
  </si>
  <si>
    <t>김옥순</t>
  </si>
  <si>
    <t>신성종</t>
  </si>
  <si>
    <t>오명숙</t>
  </si>
  <si>
    <t>이정희</t>
  </si>
  <si>
    <t>이혜숙</t>
  </si>
  <si>
    <t>이효선</t>
  </si>
  <si>
    <t>장광일</t>
  </si>
  <si>
    <t>채현숙</t>
  </si>
  <si>
    <t>1960.09.21</t>
  </si>
  <si>
    <t>1962.07.25</t>
  </si>
  <si>
    <t>1947.08.07</t>
  </si>
  <si>
    <t>1966.03.07</t>
  </si>
  <si>
    <t>1960.07.02</t>
  </si>
  <si>
    <t>1954.10.26</t>
  </si>
  <si>
    <t>1953.12.12</t>
  </si>
  <si>
    <t>1967.06.20</t>
  </si>
  <si>
    <t>1966.10.07</t>
  </si>
  <si>
    <t>1959.08.08</t>
  </si>
  <si>
    <t>1938.06.17</t>
  </si>
  <si>
    <t>김지혜</t>
  </si>
  <si>
    <t>김해옥</t>
  </si>
  <si>
    <t>박묘정</t>
  </si>
  <si>
    <t>박정자</t>
  </si>
  <si>
    <t>서미연</t>
  </si>
  <si>
    <t>안정애</t>
  </si>
  <si>
    <t>유혜숙</t>
  </si>
  <si>
    <t>정주화</t>
  </si>
  <si>
    <t>최정화</t>
  </si>
  <si>
    <t>1987.03.31</t>
  </si>
  <si>
    <t>1952.04.09</t>
  </si>
  <si>
    <t>1961.01.10</t>
  </si>
  <si>
    <t>1958.07.28</t>
  </si>
  <si>
    <t>1963.04.30</t>
  </si>
  <si>
    <t>1956.10.24</t>
  </si>
  <si>
    <t>1960.01.30</t>
  </si>
  <si>
    <t>1982.03.18</t>
  </si>
  <si>
    <t>1969.06.02</t>
  </si>
  <si>
    <t>곽필상</t>
  </si>
  <si>
    <t>김영임</t>
  </si>
  <si>
    <t>배정숙</t>
  </si>
  <si>
    <t>양효숙</t>
  </si>
  <si>
    <t>여덕원</t>
  </si>
  <si>
    <t>이성심</t>
  </si>
  <si>
    <t>이종옥</t>
  </si>
  <si>
    <t>하영철</t>
  </si>
  <si>
    <t>1956.02.05</t>
  </si>
  <si>
    <t>1970.01.13</t>
  </si>
  <si>
    <t>1957.08.12</t>
  </si>
  <si>
    <t>1973.07.18</t>
  </si>
  <si>
    <t>1957.08.02</t>
  </si>
  <si>
    <t>1965.04.02</t>
  </si>
  <si>
    <t>1958.01.05</t>
  </si>
  <si>
    <t>1952.06.15</t>
  </si>
  <si>
    <t>김채미</t>
  </si>
  <si>
    <t>송현미</t>
  </si>
  <si>
    <t>이경애</t>
  </si>
  <si>
    <t>주용자</t>
  </si>
  <si>
    <t>홍진주</t>
  </si>
  <si>
    <t>1961.02.15</t>
  </si>
  <si>
    <t>1970.03.02</t>
  </si>
  <si>
    <t>1960.04.24</t>
  </si>
  <si>
    <t>1965.11.29</t>
  </si>
  <si>
    <t>1998.01.03</t>
  </si>
  <si>
    <t>김송희</t>
  </si>
  <si>
    <t>유미림</t>
  </si>
  <si>
    <t>최부임</t>
  </si>
  <si>
    <t>홍영자</t>
  </si>
  <si>
    <t>1970.11.06</t>
  </si>
  <si>
    <t>1962.05.25</t>
  </si>
  <si>
    <t>1959.08.11</t>
  </si>
  <si>
    <t>1952.11.25</t>
  </si>
  <si>
    <t>신영선</t>
  </si>
  <si>
    <t>유재덕</t>
  </si>
  <si>
    <t>이선</t>
  </si>
  <si>
    <t>1955.10.04</t>
  </si>
  <si>
    <t>1951.02.20</t>
  </si>
  <si>
    <t>1958.11.12</t>
  </si>
  <si>
    <t>김춘화</t>
  </si>
  <si>
    <t>송정실</t>
  </si>
  <si>
    <t>최수례</t>
  </si>
  <si>
    <t>1954.01.20</t>
  </si>
  <si>
    <t>1948.04.07</t>
  </si>
  <si>
    <t>1946.11.02</t>
  </si>
  <si>
    <t>1951.03.09</t>
  </si>
  <si>
    <t>MERRY KEE LEN</t>
  </si>
  <si>
    <t>김경자</t>
  </si>
  <si>
    <t>김성숙</t>
  </si>
  <si>
    <t>신해주</t>
  </si>
  <si>
    <t>심득섭</t>
  </si>
  <si>
    <t>정수미</t>
  </si>
  <si>
    <t>홍명수</t>
  </si>
  <si>
    <t>1994.05.06</t>
  </si>
  <si>
    <t>1967.12.13</t>
  </si>
  <si>
    <t>1953.04.20</t>
  </si>
  <si>
    <t>1951.03.08</t>
  </si>
  <si>
    <t>1949.07.07</t>
  </si>
  <si>
    <t>1956.03.22</t>
  </si>
  <si>
    <t>강병춘</t>
  </si>
  <si>
    <t>곽영미</t>
  </si>
  <si>
    <t>김양원</t>
  </si>
  <si>
    <t>서숙자</t>
  </si>
  <si>
    <t>이금도</t>
  </si>
  <si>
    <t>임설희</t>
  </si>
  <si>
    <t>임은자</t>
  </si>
  <si>
    <t>1956.07.09</t>
  </si>
  <si>
    <t>1961.01.25</t>
  </si>
  <si>
    <t>1957.05.18</t>
  </si>
  <si>
    <t>1946.05.21</t>
  </si>
  <si>
    <t>1949.08.26</t>
  </si>
  <si>
    <t>1958.01.28</t>
  </si>
  <si>
    <t>1959.06.06</t>
  </si>
  <si>
    <t>남성</t>
    <phoneticPr fontId="26" type="noConversion"/>
  </si>
  <si>
    <t>2026-04-20 13:10:45</t>
  </si>
  <si>
    <t>2026-04-20 13:14:41</t>
  </si>
  <si>
    <t>가끔 가다 틀린 걸 알려주시거나 모르는 걸 알려주심. 그리고 진도가 너무 느림.</t>
  </si>
  <si>
    <t>2026-04-20 13:32:08</t>
  </si>
  <si>
    <t>2026-04-20 13:32:42</t>
  </si>
  <si>
    <t>2026-04-27 11:02:46</t>
  </si>
  <si>
    <t>2026-04-27 11:03:22</t>
  </si>
  <si>
    <t>2026-05-07 10:58:56</t>
  </si>
  <si>
    <t>2026-05-07 11:07:51</t>
  </si>
  <si>
    <t>2026-05-07 11:11:32</t>
  </si>
  <si>
    <t>2026-05-07 11:12:09</t>
  </si>
  <si>
    <t>온라인 수업 좋아요</t>
  </si>
  <si>
    <t>2026-04-20 13:11:07</t>
  </si>
  <si>
    <t>2026-04-20 13:14:20</t>
  </si>
  <si>
    <t>실생활에 너무 많은 도움이 되었고 1급 과정도 개설하였으면  좋겠어요~^^</t>
  </si>
  <si>
    <t>2026-04-20 13:14:38</t>
  </si>
  <si>
    <t>2026-04-20 13:16:13</t>
  </si>
  <si>
    <t>2026-04-20 17:57:49</t>
  </si>
  <si>
    <t>2026-04-20 18:00:43</t>
  </si>
  <si>
    <t>사회생활이나 가정생활에 필요한 도움이  되서 좋고  편리해져서 좋습니다.</t>
  </si>
  <si>
    <t>2026-05-07 11:00:19</t>
  </si>
  <si>
    <t>2026-05-07 11:01:04</t>
  </si>
  <si>
    <t>없습니다</t>
  </si>
  <si>
    <t>2026-05-14 09:38:18</t>
  </si>
  <si>
    <t>2026-05-14 09:39:12</t>
  </si>
  <si>
    <t>강사님께서 꼼꼼하고 세심하게 잘 지도해주셔서 덕분이 잘 들었습니다.</t>
  </si>
  <si>
    <t>2026-05-14 09:43:59</t>
  </si>
  <si>
    <t>2026-05-14 09:46:56</t>
  </si>
  <si>
    <t>종류가 다앙하게 좀 더 많았으면 좋겠습니다.</t>
  </si>
  <si>
    <t>2026-04-20 13:12:16</t>
  </si>
  <si>
    <t>2026-04-20 13:13:29</t>
  </si>
  <si>
    <t>2026-04-20 13:12:28</t>
  </si>
  <si>
    <t>2026-04-20 13:13:53</t>
  </si>
  <si>
    <t>2026-04-20 13:16:07</t>
  </si>
  <si>
    <t>2026-04-20 13:19:11</t>
  </si>
  <si>
    <t>만들기 수업도 생겼음 합니다 대부분 오전 시간이 많은데 엑셀처럼 1시수업도 좀 생겼으면함</t>
  </si>
  <si>
    <t>2026-04-20 15:54:12</t>
  </si>
  <si>
    <t>2026-04-20 15:56:21</t>
  </si>
  <si>
    <t>2026-04-20 23:03:28</t>
  </si>
  <si>
    <t>2026-04-20 23:09:04</t>
  </si>
  <si>
    <t>농업,어업,축산업,임업</t>
  </si>
  <si>
    <t>빔프로젝터 선명도가 더 밝으면 합니다</t>
  </si>
  <si>
    <t>2026-04-21 09:11:40</t>
  </si>
  <si>
    <t>2026-04-21 09:15:56</t>
  </si>
  <si>
    <t>교재 대신 강사님이 프린트해서 나눠 줘서 감사하고 좋아요.</t>
  </si>
  <si>
    <t>2026-04-22 10:06:25</t>
  </si>
  <si>
    <t>2026-04-22 10:08:19</t>
  </si>
  <si>
    <t>2026-04-27 10:54:06</t>
  </si>
  <si>
    <t>2026-04-27 10:55:16</t>
  </si>
  <si>
    <t>2026-04-27 18:23:07</t>
  </si>
  <si>
    <t>2026-04-27 18:24:13</t>
  </si>
  <si>
    <t>2026-04-28 04:23:34</t>
  </si>
  <si>
    <t>2026-04-28 04:27:08</t>
  </si>
  <si>
    <t>컴퓨터 기기 업그레이드가 필요하다.</t>
  </si>
  <si>
    <t>2026-05-04 13:30:19</t>
  </si>
  <si>
    <t>2026-05-04 13:44:34</t>
  </si>
  <si>
    <t>필요한 한글이나 엑셀에 관하여 많은 도움이 되었다</t>
  </si>
  <si>
    <t>2026-05-07 11:43:50</t>
  </si>
  <si>
    <t>2026-05-07 11:45:40</t>
  </si>
  <si>
    <t>강사님의 충실한 강의에 감사드립니다</t>
  </si>
  <si>
    <t>한글&amp;엑셀 기초실무</t>
    <phoneticPr fontId="2" type="noConversion"/>
  </si>
  <si>
    <t>2026-04-20 13:14:54</t>
  </si>
  <si>
    <t>2026-04-20 13:25:06</t>
  </si>
  <si>
    <t>2026-04-20 13:36:52</t>
  </si>
  <si>
    <t>2026-04-20 13:39:32</t>
  </si>
  <si>
    <t>교재 및 준비성을 성의껏 잘 해오십니다
열심히 노력하시는 선생님 입니다.</t>
  </si>
  <si>
    <t>2026-04-20 13:40:13</t>
  </si>
  <si>
    <t>2026-04-20 13:42:58</t>
  </si>
  <si>
    <t>강사님이 적극적이고 충실히 강의를 해주셔서 큰도움을 받고 있는데 계속지속되었으면</t>
  </si>
  <si>
    <t>2026-04-20 13:40:57</t>
  </si>
  <si>
    <t>2026-04-20 13:47:39</t>
  </si>
  <si>
    <t>영어 공부를 통해 지적 향상이 되어서 매우좋다</t>
  </si>
  <si>
    <t>2026-04-20 13:57:06</t>
  </si>
  <si>
    <t>2026-04-20 13:58:56</t>
  </si>
  <si>
    <t>오카리나 수업이 생겼으면 좋겠습니다</t>
  </si>
  <si>
    <t>2026-04-24 17:20:43</t>
  </si>
  <si>
    <t>2026-04-24 17:24:56</t>
  </si>
  <si>
    <t>강사님이  열정이  넘치고 적극적으로  강의하십니다.</t>
  </si>
  <si>
    <t>2026-04-27 10:57:17</t>
  </si>
  <si>
    <t>2026-04-27 10:58:24</t>
  </si>
  <si>
    <t>지금처럼 유익한교육 지속적으로 유지해주세요</t>
  </si>
  <si>
    <t>2026-04-27 10:56:54</t>
  </si>
  <si>
    <t>2026-04-27 11:00:43</t>
  </si>
  <si>
    <t>공부하는 재미가 있고 배움에 행복함이 있습니다.</t>
  </si>
  <si>
    <t>2026-04-27 11:40:44</t>
  </si>
  <si>
    <t>2026-04-27 11:46:05</t>
  </si>
  <si>
    <t>항상  알기쉽게  가르치시는  선생님게  감사  하며  가정이 평안하시길 기원  함니다</t>
  </si>
  <si>
    <t>2026-04-27 11:59:39</t>
  </si>
  <si>
    <t>2026-04-27 12:00:33</t>
  </si>
  <si>
    <t>2026-04-27 18:19:54</t>
  </si>
  <si>
    <t>2026-04-27 18:21:00</t>
  </si>
  <si>
    <t>2026-05-06 10:50:35</t>
  </si>
  <si>
    <t>2026-05-06 10:52:09</t>
  </si>
  <si>
    <t>조정외 선생님 처음 만나뵈엇는데
정말 실력이 늘어나는 느낌
수업 받는동안 너무 행복합니다</t>
  </si>
  <si>
    <t>2026-05-06 10:52:04</t>
  </si>
  <si>
    <t>2026-05-06 10:52:58</t>
  </si>
  <si>
    <t>강사좋아요</t>
  </si>
  <si>
    <t>2026-05-07 11:07:14</t>
  </si>
  <si>
    <t>2026-05-07 11:08:50</t>
  </si>
  <si>
    <t>선생님이 적극적이며 친절합니다</t>
  </si>
  <si>
    <t>2026-05-07 11:48:00</t>
  </si>
  <si>
    <t>2026-05-07 11:48:43</t>
  </si>
  <si>
    <t>유익하고 너무 즐겁습니다</t>
  </si>
  <si>
    <t>2026-04-21 11:14:14</t>
  </si>
  <si>
    <t>2026-04-21 11:15:37</t>
  </si>
  <si>
    <t>인원을 늘려주셔요</t>
  </si>
  <si>
    <t>2026-04-24 14:07:26</t>
  </si>
  <si>
    <t>2026-04-24 14:07:52</t>
  </si>
  <si>
    <t>2026-04-24 14:07:40</t>
  </si>
  <si>
    <t>2026-04-24 14:09:06</t>
  </si>
  <si>
    <t>하모니카.라인댄스 개설을 원합니다</t>
  </si>
  <si>
    <t>2026-04-24 14:08:44</t>
  </si>
  <si>
    <t>2026-04-24 14:09:13</t>
  </si>
  <si>
    <t>2026-04-24 14:11:02</t>
  </si>
  <si>
    <t>2026-04-24 14:11:54</t>
  </si>
  <si>
    <t>2026-04-24 14:11:31</t>
  </si>
  <si>
    <t>2026-04-24 14:11:55</t>
  </si>
  <si>
    <t>2026-05-22 13:43:36</t>
  </si>
  <si>
    <t>2026-05-22 13:43:53</t>
  </si>
  <si>
    <t>2026-05-22 13:44:45</t>
  </si>
  <si>
    <t>2026-05-22 13:45:03</t>
  </si>
  <si>
    <t>2026-05-22 13:45:43</t>
  </si>
  <si>
    <t>2026-05-22 13:46:03</t>
  </si>
  <si>
    <t>2026-05-22 13:43:57</t>
  </si>
  <si>
    <t>2026-05-22 13:50:34</t>
  </si>
  <si>
    <t>인원을 많이 눌려주세요.
노래교실은 60~70명 정원인데 
~ 웃음치료는 명약입니다.</t>
  </si>
  <si>
    <t>힐링 노래교실</t>
    <phoneticPr fontId="2" type="noConversion"/>
  </si>
  <si>
    <t>2026-04-20 13:17:10</t>
  </si>
  <si>
    <t>2026-04-20 13:18:55</t>
  </si>
  <si>
    <t>2026-04-20 13:17:18</t>
  </si>
  <si>
    <t>2026-04-20 13:19:59</t>
  </si>
  <si>
    <t>감사합니다</t>
  </si>
  <si>
    <t>2026-04-20 13:21:31</t>
  </si>
  <si>
    <t>2026-04-20 13:23:39</t>
  </si>
  <si>
    <t>2026-04-20 14:20:54</t>
  </si>
  <si>
    <t>2026-04-20 14:26:29</t>
  </si>
  <si>
    <t>가까운곳에서  취미활동과 알찬노후활도믈  할수있어서 적극권장합니다.</t>
  </si>
  <si>
    <t>2026-04-20 15:42:41</t>
  </si>
  <si>
    <t>2026-04-20 15:46:18</t>
  </si>
  <si>
    <t>선생님의 활달하고 유쾌한 수업이 오후시간에 활력소가 되어 일주일이 기다려집니다</t>
  </si>
  <si>
    <t>2026-04-20 15:52:36</t>
  </si>
  <si>
    <t>2026-04-20 15:53:23</t>
  </si>
  <si>
    <t>2026-04-20 16:46:14</t>
  </si>
  <si>
    <t>2026-04-20 16:55:33</t>
  </si>
  <si>
    <t>나이제한 이있는지.    자유롭게  노래 할수 있어서. 넘좋와요.</t>
  </si>
  <si>
    <t>2026-04-20 17:56:16</t>
  </si>
  <si>
    <t>2026-04-20 18:05:11</t>
  </si>
  <si>
    <t>앰프를 바꿔 주세요. 
노래의 질이 많이 떨어져요.</t>
  </si>
  <si>
    <t>2026-04-21 11:10:49</t>
  </si>
  <si>
    <t>2026-04-21 11:13:30</t>
  </si>
  <si>
    <t>인원을 더늘려 주셔요</t>
  </si>
  <si>
    <t>2026-04-24 14:09:25</t>
  </si>
  <si>
    <t>2026-04-24 14:09:43</t>
  </si>
  <si>
    <t>2026-04-27 10:59:02</t>
  </si>
  <si>
    <t>2026-04-27 11:04:31</t>
  </si>
  <si>
    <t>2026-04-27 11:12:42</t>
  </si>
  <si>
    <t>2026-04-27 11:13:41</t>
  </si>
  <si>
    <t>항상 좋은시간 갖고 있습니다.</t>
  </si>
  <si>
    <t>2026-04-27 14:51:38</t>
  </si>
  <si>
    <t>2026-04-27 14:52:22</t>
  </si>
  <si>
    <t>2026-05-07 11:17:01</t>
  </si>
  <si>
    <t>2026-05-07 11:18:06</t>
  </si>
  <si>
    <t>라인댄스. 두반으로. 늘려주심좋겠습니다</t>
  </si>
  <si>
    <t>2026-05-07 11:14:11</t>
  </si>
  <si>
    <t>2026-05-07 11:18:11</t>
  </si>
  <si>
    <t>지하라서  공기가 좀안좋은점</t>
  </si>
  <si>
    <t>2026-05-07 11:18:26</t>
  </si>
  <si>
    <t>2026-05-07 11:21:00</t>
  </si>
  <si>
    <t>라인댄스가 하고싶은 명수를 늘려주심  감사하겠습니다</t>
  </si>
  <si>
    <t>2026-05-07 12:23:26</t>
  </si>
  <si>
    <t>2026-05-07 12:24:22</t>
  </si>
  <si>
    <t>수업이 재미있고 신납니다.</t>
  </si>
  <si>
    <t>2026-05-07 12:50:22</t>
  </si>
  <si>
    <t>2026-05-07 12:51:17</t>
  </si>
  <si>
    <t>2026-05-08 13:52:25</t>
  </si>
  <si>
    <t>2026-05-08 13:57:44</t>
  </si>
  <si>
    <t>2026-05-18 11:32:48</t>
  </si>
  <si>
    <t>2026-05-18 11:33:57</t>
  </si>
  <si>
    <t>2026-05-18 13:41:59</t>
  </si>
  <si>
    <t>2026-05-18 13:44:29</t>
  </si>
  <si>
    <t>프로그램의 발전을 위하여 여러가지로 지원을 해주셔서 진심으로 감사합니다.</t>
  </si>
  <si>
    <t>2026-05-18 15:30:32</t>
  </si>
  <si>
    <t>2026-05-18 15:32:16</t>
  </si>
  <si>
    <t>한문서예</t>
    <phoneticPr fontId="2" type="noConversion"/>
  </si>
  <si>
    <t>2026-04-20 14:17:34</t>
  </si>
  <si>
    <t>2026-04-20 14:18:25</t>
  </si>
  <si>
    <t>2026-04-20 14:21:12</t>
  </si>
  <si>
    <t>2026-04-20 14:21:57</t>
  </si>
  <si>
    <t>2026-04-20 14:32:07</t>
  </si>
  <si>
    <t>2026-04-20 14:34:25</t>
  </si>
  <si>
    <t>현재보다 큰 쓰레기통이 있으면 좋겠다</t>
  </si>
  <si>
    <t>2026-04-20 15:50:16</t>
  </si>
  <si>
    <t>2026-04-20 15:51:49</t>
  </si>
  <si>
    <t>세시간으로 늘려주세요 
시간이 부족해요</t>
  </si>
  <si>
    <t>2026-04-20 17:04:17</t>
  </si>
  <si>
    <t>2026-04-20 17:09:28</t>
  </si>
  <si>
    <t>2시간 수깅 시간이 짧아 
시간을 조금 연장 하면 더욱 좋을것같다</t>
  </si>
  <si>
    <t>2026-04-20 17:11:27</t>
  </si>
  <si>
    <t>2026-04-20 17:12:17</t>
  </si>
  <si>
    <t>2026-04-23 19:27:54</t>
  </si>
  <si>
    <t>2026-04-23 19:29:58</t>
  </si>
  <si>
    <t>2026-04-27 12:12:35</t>
  </si>
  <si>
    <t>2026-04-27 12:14:04</t>
  </si>
  <si>
    <t>2026-05-09 08:58:29</t>
  </si>
  <si>
    <t>2026-05-09 08:59:53</t>
  </si>
  <si>
    <t>2026-04-20 13:19:55</t>
  </si>
  <si>
    <t>2026-04-20 13:21:10</t>
  </si>
  <si>
    <t>2026-04-20 13:19:42</t>
  </si>
  <si>
    <t>2026-04-20 13:21:30</t>
  </si>
  <si>
    <t>강사님의 친절함과 적극적인 참여에
감사합니다.</t>
  </si>
  <si>
    <t>2026-04-20 13:19:52</t>
  </si>
  <si>
    <t>2026-04-20 13:23:07</t>
  </si>
  <si>
    <t>수업중에  화면이 자꾸꺼저서  고처주셨으면 해요</t>
  </si>
  <si>
    <t>2026-04-20 13:21:58</t>
  </si>
  <si>
    <t>2026-04-20 13:24:10</t>
  </si>
  <si>
    <t>늦은 나이에 스케치를 한다는게 넘 좋아요 그림의 기본이 되는것 같네요</t>
  </si>
  <si>
    <t>2026-04-20 13:24:57</t>
  </si>
  <si>
    <t>2026-04-20 13:28:42</t>
  </si>
  <si>
    <t>젊은사람도 참여할수있는 프로그램  다양하게 신설되었음 좋겠어요</t>
  </si>
  <si>
    <t>2026-04-20 13:32:22</t>
  </si>
  <si>
    <t>2026-04-20 13:34:10</t>
  </si>
  <si>
    <t>쾌적한 환경이 좋았습니다</t>
  </si>
  <si>
    <t>2026-04-20 13:41:30</t>
  </si>
  <si>
    <t>2026-04-20 13:45:20</t>
  </si>
  <si>
    <t>좋은 프로그램 감사합니다 
하모니카 오카리나 같은악기도부탁합니다</t>
  </si>
  <si>
    <t>2026-04-20 14:38:15</t>
  </si>
  <si>
    <t>2026-04-20 14:42:30</t>
  </si>
  <si>
    <t>수업에 대한  설명이 적극적이었으면 바램이다.</t>
  </si>
  <si>
    <t>2026-04-27 11:24:00</t>
  </si>
  <si>
    <t>2026-04-27 11:33:43</t>
  </si>
  <si>
    <t>요일변경</t>
  </si>
  <si>
    <t>2026-04-27 11:48:52</t>
  </si>
  <si>
    <t>2026-04-27 11:50:30</t>
  </si>
  <si>
    <t>수채화분야도 해주셨으면 좋겠습니다</t>
  </si>
  <si>
    <t>2026-05-05 21:22:21</t>
  </si>
  <si>
    <t>2026-05-05 21:27:00</t>
  </si>
  <si>
    <t>2026-05-06 09:57:07</t>
  </si>
  <si>
    <t>2026-05-06 09:58:38</t>
  </si>
  <si>
    <t>없음</t>
  </si>
  <si>
    <t>치매예방 미술 프로그램(연필스케치)</t>
    <phoneticPr fontId="2" type="noConversion"/>
  </si>
  <si>
    <t>2026-04-20 13:27:17</t>
  </si>
  <si>
    <t>2026-04-20 13:29:23</t>
  </si>
  <si>
    <t>2026-04-20 13:27:15</t>
  </si>
  <si>
    <t>2026-04-20 13:29:32</t>
  </si>
  <si>
    <t>우쿨렐레가 많은 도움이 됩니다</t>
  </si>
  <si>
    <t>2026-04-20 13:22:00</t>
  </si>
  <si>
    <t>2026-04-20 13:30:44</t>
  </si>
  <si>
    <t>우쿨렐레  수업이 각동사무소에 생겼으면 좋겠습니다 여러곳에서 배울기회가 많으면 좋겠습니다</t>
  </si>
  <si>
    <t>2026-04-20 13:31:51</t>
  </si>
  <si>
    <t>2026-04-20 13:33:13</t>
  </si>
  <si>
    <t>특별히 개선점은 없어보임</t>
  </si>
  <si>
    <t>2026-04-20 13:44:43</t>
  </si>
  <si>
    <t>2026-04-20 13:48:20</t>
  </si>
  <si>
    <t>수강신청 때 당첨이 안되어 쉬어야하나는 아쉬움이 있어요</t>
  </si>
  <si>
    <t>2026-04-20 13:46:10</t>
  </si>
  <si>
    <t>2026-04-20 13:52:21</t>
  </si>
  <si>
    <t>2026-04-20 14:00:58</t>
  </si>
  <si>
    <t>2026-04-20 14:02:58</t>
  </si>
  <si>
    <t>우쿨수업이 계속 진행되길바랍니다
추첨되는게 소원이네요~~</t>
  </si>
  <si>
    <t>2026-04-20 15:48:11</t>
  </si>
  <si>
    <t>2026-04-20 15:49:14</t>
  </si>
  <si>
    <t>2026-04-20 17:45:52</t>
  </si>
  <si>
    <t>2026-04-20 17:49:10</t>
  </si>
  <si>
    <t>우쿨렐레 중급반있었음한다
또한 지역사회에 연주를 해서
봉사할수 있는곳도있었음한디ㅡ</t>
  </si>
  <si>
    <t>2026-04-23 13:56:13</t>
  </si>
  <si>
    <t>2026-04-23 13:58:16</t>
  </si>
  <si>
    <t>주차장이 좁아요.
읍사무소에서 장소를 했으면 좋겠어요</t>
  </si>
  <si>
    <t>2026-04-27 10:54:39</t>
  </si>
  <si>
    <t>2026-04-27 10:56:00</t>
  </si>
  <si>
    <t>우클렐레는 시간 조정이 좀 필요할듯합니다</t>
  </si>
  <si>
    <t>2026-04-27 12:17:11</t>
  </si>
  <si>
    <t>2026-04-27 12:21:51</t>
  </si>
  <si>
    <t>수업시간  분위기도 좋고
선생님이  열성적으로 해주셔서
수업시간이 재미있습니다</t>
  </si>
  <si>
    <t>댄스스포츠(중급)</t>
    <phoneticPr fontId="2" type="noConversion"/>
  </si>
  <si>
    <t>2026-04-20 13:34:13</t>
  </si>
  <si>
    <t>2026-04-20 13:37:21</t>
  </si>
  <si>
    <t>2026-04-20 13:40:19</t>
  </si>
  <si>
    <t>2026-04-20 13:41:42</t>
  </si>
  <si>
    <t>2026-04-20 13:47:04</t>
  </si>
  <si>
    <t>2026-04-20 13:48:28</t>
  </si>
  <si>
    <t>2026-04-20 13:47:42</t>
  </si>
  <si>
    <t>2026-04-20 13:48:38</t>
  </si>
  <si>
    <t>2026-04-20 13:53:51</t>
  </si>
  <si>
    <t>2026-04-20 14:25:34</t>
  </si>
  <si>
    <t>중급하면서 강사님께서 설명을 잘 해주셔서기분이 업 되어 즐겁고 행복합니다 고맙고 감사해요</t>
  </si>
  <si>
    <t>2026-04-20 15:49:13</t>
  </si>
  <si>
    <t>2026-04-20 15:51:04</t>
  </si>
  <si>
    <t>2026-04-20 16:33:16</t>
  </si>
  <si>
    <t>2026-04-20 16:37:31</t>
  </si>
  <si>
    <t>재미있게 진행 해 주신 강사님께 감사의 인사를 드립니다.</t>
  </si>
  <si>
    <t>2026-04-20 16:56:20</t>
  </si>
  <si>
    <t>2026-04-20 17:03:47</t>
  </si>
  <si>
    <t>수강신청발표후한달후에드러오는회원은어떠게들어오는건지궁굼합니다시정해주시기바람니다</t>
  </si>
  <si>
    <t>2026-04-20 17:16:11</t>
  </si>
  <si>
    <t>2026-04-20 17:17:43</t>
  </si>
  <si>
    <t>2026-04-20 17:32:36</t>
  </si>
  <si>
    <t>2026-04-20 17:33:17</t>
  </si>
  <si>
    <t>2026-04-21 01:15:57</t>
  </si>
  <si>
    <t>2026-04-21 01:17:38</t>
  </si>
  <si>
    <t>2026-04-21 10:52:19</t>
  </si>
  <si>
    <t>2026-04-21 10:54:56</t>
  </si>
  <si>
    <t>중급반으로 좀더 체계적인 수업을 받을수 있어 만족도가 매우 높음 앞으로도 그러길 바랍니다</t>
  </si>
  <si>
    <t>2026-04-23 01:29:26</t>
  </si>
  <si>
    <t>2026-04-23 01:30:28</t>
  </si>
  <si>
    <t>2026-04-27 00:24:34</t>
  </si>
  <si>
    <t>2026-04-27 00:26:19</t>
  </si>
  <si>
    <t>장기본동 댄스스포츠 수업 요망</t>
  </si>
  <si>
    <t>2026-04-27 13:29:12</t>
  </si>
  <si>
    <t>2026-04-27 13:31:44</t>
  </si>
  <si>
    <t>상상고맙구감사합니다.</t>
  </si>
  <si>
    <t>2026-04-27 13:50:10</t>
  </si>
  <si>
    <t>2026-04-27 13:51:43</t>
  </si>
  <si>
    <t>강사님의 전문적인 교육과 친절함이 맘에 들어요</t>
  </si>
  <si>
    <t>2026-04-27 19:56:56</t>
  </si>
  <si>
    <t>2026-04-27 19:57:35</t>
  </si>
  <si>
    <t>2026-04-28 20:58:28</t>
  </si>
  <si>
    <t>2026-04-28 21:03:32</t>
  </si>
  <si>
    <t>강사가 교육을 재미 있게 하고 있습니다 매우 만족합니다.</t>
  </si>
  <si>
    <t>2026-04-30 19:54:51</t>
  </si>
  <si>
    <t>2026-04-30 20:04:03</t>
  </si>
  <si>
    <t>한국전통 문롸강좌(풍물,한국무용,판소리,각도민요, 등등)의 절대적 부족</t>
  </si>
  <si>
    <t>2026-05-04 12:27:44</t>
  </si>
  <si>
    <t>2026-05-04 12:29:12</t>
  </si>
  <si>
    <t>선생님 매우 열정적으로 수업진행~^^</t>
  </si>
  <si>
    <t>2026-05-07 12:06:10</t>
  </si>
  <si>
    <t>2026-05-07 12:09:32</t>
  </si>
  <si>
    <t>회원들간에 친분이 좋아진다.</t>
  </si>
  <si>
    <t>밸리댄스</t>
    <phoneticPr fontId="2" type="noConversion"/>
  </si>
  <si>
    <t>2026-04-20 13:23:47</t>
  </si>
  <si>
    <t>2026-04-20 13:26:08</t>
  </si>
  <si>
    <t>여성탈의실에 신발장을 치워주셨으면좋겠음다</t>
  </si>
  <si>
    <t>2026-04-20 13:22:59</t>
  </si>
  <si>
    <t>2026-04-20 13:29:11</t>
  </si>
  <si>
    <t>시간은 좋은데
토요일에 집안행사 있으면 금요일에 가기때문에 참석 어렵습니다.</t>
  </si>
  <si>
    <t>2026-04-20 13:32:59</t>
  </si>
  <si>
    <t>2026-04-20 13:34:20</t>
  </si>
  <si>
    <t>2026-04-20 13:42:18</t>
  </si>
  <si>
    <t>2026-04-20 13:43:02</t>
  </si>
  <si>
    <t>2026-04-20 13:52:05</t>
  </si>
  <si>
    <t>2026-04-20 13:54:00</t>
  </si>
  <si>
    <t>실력있으신  선생님 이십니다~친절 하시고 만족합니다~ 잘배웁니다~
감사합니다</t>
  </si>
  <si>
    <t>2026-04-20 14:06:04</t>
  </si>
  <si>
    <t>2026-04-20 14:07:19</t>
  </si>
  <si>
    <t>일주일에 두번만 하는게 아쉬워요 중급반도 생기면 좋겠어요</t>
  </si>
  <si>
    <t>2026-04-20 15:48:45</t>
  </si>
  <si>
    <t>2026-04-20 15:49:51</t>
  </si>
  <si>
    <t>2026-04-20 16:08:36</t>
  </si>
  <si>
    <t>2026-04-20 16:13:39</t>
  </si>
  <si>
    <t>생활 에활 력소갇ㅚ며 모든일이 즐거운거같 습니다 좋은장소줗은운동하게 해주심감사드림니다.</t>
  </si>
  <si>
    <t>2026-04-20 23:34:10</t>
  </si>
  <si>
    <t>2026-04-20 23:35:52</t>
  </si>
  <si>
    <t>2026-04-21 14:44:55</t>
  </si>
  <si>
    <t>2026-04-21 14:54:20</t>
  </si>
  <si>
    <t>시니어가 하기에 너무 좋은 운동입니다
힘들지도 않고 음악과 함께하는 운동이 너무 좋아요😊</t>
  </si>
  <si>
    <t>2026-04-23 20:27:59</t>
  </si>
  <si>
    <t>2026-04-23 20:28:36</t>
  </si>
  <si>
    <t>2026-05-08 15:40:54</t>
  </si>
  <si>
    <t>2026-05-08 15:41:38</t>
  </si>
  <si>
    <t>시니어 건강 라인댄스</t>
    <phoneticPr fontId="2" type="noConversion"/>
  </si>
  <si>
    <t>2026-04-20 13:24:44</t>
  </si>
  <si>
    <t>2026-04-20 13:25:39</t>
  </si>
  <si>
    <t>2026-04-20 13:24:37</t>
  </si>
  <si>
    <t>2026-04-20 13:31:13</t>
  </si>
  <si>
    <t>라인댄스 수업에 나이 제한을 좀 하시면 좋겠다는 생각~!! 너무 연세가 많으면 곤란ㅠ</t>
  </si>
  <si>
    <t>2026-04-20 13:43:44</t>
  </si>
  <si>
    <t>2026-04-20 13:44:28</t>
  </si>
  <si>
    <t>2026-04-20 13:43:23</t>
  </si>
  <si>
    <t>2026-04-20 13:44:45</t>
  </si>
  <si>
    <t>2026-04-20 13:43:09</t>
  </si>
  <si>
    <t>별로 없다</t>
  </si>
  <si>
    <t>2026-04-20 13:46:11</t>
  </si>
  <si>
    <t>2026-04-20 13:49:23</t>
  </si>
  <si>
    <t>선생님께서 적절하게 그때그때마다 안전하게 재미있게수업을 해주셔서 계속하고 싶다</t>
  </si>
  <si>
    <t>2026-04-20 13:48:53</t>
  </si>
  <si>
    <t>2026-04-20 13:51:32</t>
  </si>
  <si>
    <t>선생님이  적극적 으로 임해주시고  친절히 잘가리키십니다~~
감사합니다~~</t>
  </si>
  <si>
    <t>2026-04-20 14:55:23</t>
  </si>
  <si>
    <t>2026-04-20 14:56:47</t>
  </si>
  <si>
    <t>2026-04-20 14:55:50</t>
  </si>
  <si>
    <t>2026-04-20 15:04:26</t>
  </si>
  <si>
    <t>지속해서 운동할 수 있는 시스템이 구축되어 1년은 할수 있으면 좋겠습니다.
중급반 개설희망</t>
  </si>
  <si>
    <t>2026-04-20 16:10:08</t>
  </si>
  <si>
    <t>2026-04-20 16:11:34</t>
  </si>
  <si>
    <t>2026-04-20 17:04:05</t>
  </si>
  <si>
    <t>2026-04-20 17:08:19</t>
  </si>
  <si>
    <t>강사님열심히가르쳐주시고회원들괴의'협동심도만족합니다</t>
  </si>
  <si>
    <t>2026-04-20 18:38:53</t>
  </si>
  <si>
    <t>2026-04-20 18:42:59</t>
  </si>
  <si>
    <t>계속 했으면 좋겠는데
한학기가 끝나면 불안 합니다.</t>
  </si>
  <si>
    <t>2026-04-23 13:28:39</t>
  </si>
  <si>
    <t>2026-04-23 13:32:08</t>
  </si>
  <si>
    <t>계속해서 할수 있었으면 좋겠습니다</t>
  </si>
  <si>
    <t>2026-04-23 13:34:38</t>
  </si>
  <si>
    <t>2026-04-23 13:36:27</t>
  </si>
  <si>
    <t>계속 해서  할 수 있는 방법이 있으면 좋겠습니다</t>
  </si>
  <si>
    <t>2026-04-23 13:43:19</t>
  </si>
  <si>
    <t>2026-04-23 13:44:44</t>
  </si>
  <si>
    <t>삶에 질이  좋아졌어요</t>
  </si>
  <si>
    <t>2026-04-24 11:14:59</t>
  </si>
  <si>
    <t>2026-04-24 11:18:02</t>
  </si>
  <si>
    <t>좋은 프로그램을 준비해주신 김포시와 담당자님들께 진심으로 감사드립니다~</t>
  </si>
  <si>
    <t>2026-04-26 16:25:40</t>
  </si>
  <si>
    <t>2026-04-26 16:28:18</t>
  </si>
  <si>
    <t>2026-05-07 09:58:01</t>
  </si>
  <si>
    <t>2026-05-07 10:00:20</t>
  </si>
  <si>
    <t>강사님이 너무 자세히 잘가르쳐 주셔서 너무 감사해요
다음에도 또 되면 좋겠습니다.</t>
  </si>
  <si>
    <t>2026-05-07 13:06:19</t>
  </si>
  <si>
    <t>2026-05-07 13:14:32</t>
  </si>
  <si>
    <t>선생님  동작하나 하나 잘 가르쳐줘  나이가인는 노인들도 잘 가르쳐줘  즐겁게 하고있어요</t>
  </si>
  <si>
    <t>2026-05-09 14:15:21</t>
  </si>
  <si>
    <t>2026-05-09 14:17:18</t>
  </si>
  <si>
    <t>2026-04-20 13:25:29</t>
  </si>
  <si>
    <t>2026-04-20 13:28:35</t>
  </si>
  <si>
    <t>수업일수를 늘려주세요 
수업시간이 점심시간이라 불편합니다</t>
  </si>
  <si>
    <t>2026-04-20 13:26:15</t>
  </si>
  <si>
    <t>2026-04-20 13:31:56</t>
  </si>
  <si>
    <t>지금 인원보다 더 많이 한 30명정도 뽑았으면 좋겠음</t>
  </si>
  <si>
    <t>2026-04-20 13:29:19</t>
  </si>
  <si>
    <t>2026-04-20 13:34:07</t>
  </si>
  <si>
    <t>운동을 할수있고 친구들도 만나서 좋아요..감사합니다.</t>
  </si>
  <si>
    <t>2026-04-20 13:51:41</t>
  </si>
  <si>
    <t>2026-04-20 13:56:12</t>
  </si>
  <si>
    <t>시니어 건강체조 인원을 늘려 주세요.
회수도 늘어나면 좋겠습니다.</t>
  </si>
  <si>
    <t>2026-04-20 14:04:17</t>
  </si>
  <si>
    <t>2026-04-20 14:07:28</t>
  </si>
  <si>
    <t>교육일자를
바꿀수있으면
월요일과목요일로했으면좋겠다</t>
  </si>
  <si>
    <t>2026-04-20 14:48:08</t>
  </si>
  <si>
    <t>2026-04-20 14:52:32</t>
  </si>
  <si>
    <t>정원이좀부족한것갔아요  정원을30명정도로해주세요</t>
  </si>
  <si>
    <t>2026-04-20 14:52:16</t>
  </si>
  <si>
    <t>2026-04-20 14:55:13</t>
  </si>
  <si>
    <t>모집인원을 조금 늘려서 많은분들의 참여기회를  부여해주면 좋겠습니다</t>
  </si>
  <si>
    <t>2026-04-20 15:33:12</t>
  </si>
  <si>
    <t>2026-04-20 15:38:53</t>
  </si>
  <si>
    <t>강사님께서 성심 성의껏 지도해 주셔서 좋습니다.  인원을  최대한  늘여 주세요.</t>
  </si>
  <si>
    <t>2026-04-20 17:37:09</t>
  </si>
  <si>
    <t>2026-04-20 17:41:01</t>
  </si>
  <si>
    <t>2026-04-20 18:57:59</t>
  </si>
  <si>
    <t>2026-04-20 18:59:49</t>
  </si>
  <si>
    <t>오후조있으면좋겠어요^^~~~</t>
  </si>
  <si>
    <t>2026-04-22 11:23:25</t>
  </si>
  <si>
    <t>2026-04-22 11:25:40</t>
  </si>
  <si>
    <t>수업 내용이 너무 좋앗고 다음분기에는 인원수가 더 늘어낫으면 좋겟습니다 더 건강해졋읍니다</t>
  </si>
  <si>
    <t>2026-04-23 20:24:29</t>
  </si>
  <si>
    <t>2026-04-23 20:25:21</t>
  </si>
  <si>
    <t>2026-04-27 11:11:36</t>
  </si>
  <si>
    <t>2026-04-27 11:13:01</t>
  </si>
  <si>
    <t>2026-04-27 15:24:00</t>
  </si>
  <si>
    <t>2026-04-27 15:25:34</t>
  </si>
  <si>
    <t>노래 좋아요  활력됩니다</t>
  </si>
  <si>
    <t>시니어건강체조</t>
    <phoneticPr fontId="2" type="noConversion"/>
  </si>
  <si>
    <t>2026-04-20 14:59:52</t>
  </si>
  <si>
    <t>2026-04-20 15:01:18</t>
  </si>
  <si>
    <t>항상 재미있게 수업해주셔서 감시합니다</t>
  </si>
  <si>
    <t>2026-04-21 13:08:35</t>
  </si>
  <si>
    <t>2026-04-21 13:13:15</t>
  </si>
  <si>
    <t>글을 배우면서 세상이 행복해 보인다.</t>
  </si>
  <si>
    <t>2026-04-22 13:26:42</t>
  </si>
  <si>
    <t>2026-04-22 13:31:07</t>
  </si>
  <si>
    <t>한글을 배워서좋아요</t>
  </si>
  <si>
    <t>2026-04-22 13:29:36</t>
  </si>
  <si>
    <t>2026-04-22 13:33:03</t>
  </si>
  <si>
    <t>없다</t>
  </si>
  <si>
    <t>2026-04-22 13:34:22</t>
  </si>
  <si>
    <t>2026-04-22 13:37:38</t>
  </si>
  <si>
    <t>2026-04-22 13:32:36</t>
  </si>
  <si>
    <t>2026-04-22 13:38:27</t>
  </si>
  <si>
    <t>글을 배워서 읽을 수 있어서 좋아요</t>
  </si>
  <si>
    <t>2026-04-22 13:41:26</t>
  </si>
  <si>
    <t>2026-04-22 13:45:07</t>
  </si>
  <si>
    <t>2026-04-22 13:48:29</t>
  </si>
  <si>
    <t>2026-04-22 13:51:32</t>
  </si>
  <si>
    <t>2026-05-06 13:54:40</t>
  </si>
  <si>
    <t>2026-05-06 13:56:29</t>
  </si>
  <si>
    <t>2026-05-06 13:58:37</t>
  </si>
  <si>
    <t>2026-05-06 14:00:43</t>
  </si>
  <si>
    <t>2026-05-07 12:22:07</t>
  </si>
  <si>
    <t>2026-05-07 12:22:53</t>
  </si>
  <si>
    <t>수업이 재미있고 유익합니다.</t>
  </si>
  <si>
    <t>컴퓨터&amp;스마트폰 기초(키오스크활용)</t>
    <phoneticPr fontId="2" type="noConversion"/>
  </si>
  <si>
    <t>2026-04-20 13:37:05</t>
  </si>
  <si>
    <t>2026-04-20 13:43:05</t>
  </si>
  <si>
    <t>주차할공괸이없다
주차장에 주차여. 주차비. 3300지불하여다
그리고학섭중단</t>
  </si>
  <si>
    <t>2026-04-20 14:35:30</t>
  </si>
  <si>
    <t>2026-04-20 14:36:12</t>
  </si>
  <si>
    <t>ㆍ</t>
  </si>
  <si>
    <t>2026-04-20 18:54:41</t>
  </si>
  <si>
    <t>2026-04-20 18:56:57</t>
  </si>
  <si>
    <t>2026-04-20 19:02:22</t>
  </si>
  <si>
    <t>2026-04-20 19:10:22</t>
  </si>
  <si>
    <t>만족합니다  고맙습니다.</t>
  </si>
  <si>
    <t>2026-04-21 01:08:31</t>
  </si>
  <si>
    <t>2026-04-21 01:12:14</t>
  </si>
  <si>
    <t>2026-04-29 09:50:27</t>
  </si>
  <si>
    <t>2026-04-29 09:51:46</t>
  </si>
  <si>
    <t>2026-05-07 12:31:18</t>
  </si>
  <si>
    <t>2026-05-07 12:34:06</t>
  </si>
  <si>
    <t>친절하게 가르쳐서 좋다.</t>
  </si>
  <si>
    <t>2026-05-07 13:25:01</t>
  </si>
  <si>
    <t>2026-05-07 13:29:33</t>
  </si>
  <si>
    <t>할말은.없읍니다</t>
  </si>
  <si>
    <t>2026-04-20 13:29:28</t>
  </si>
  <si>
    <t>2026-04-20 13:31:41</t>
  </si>
  <si>
    <t>회화반 초급 반이 너무필요 합니다</t>
  </si>
  <si>
    <t>2026-04-20 13:31:07</t>
  </si>
  <si>
    <t>2026-04-20 13:34:49</t>
  </si>
  <si>
    <t>2026-04-20 13:40:08</t>
  </si>
  <si>
    <t>2026-04-20 13:41:43</t>
  </si>
  <si>
    <t>성의것 잘 가르치십니다
감사합니다 ~~</t>
  </si>
  <si>
    <t>2026-04-20 14:02:34</t>
  </si>
  <si>
    <t>2026-04-20 14:03:45</t>
  </si>
  <si>
    <t>악기  기타도  신설 했으면 좋겠어요</t>
  </si>
  <si>
    <t>2026-04-20 15:14:55</t>
  </si>
  <si>
    <t>2026-04-20 15:19:30</t>
  </si>
  <si>
    <t>평생학습센터 배우터 많이 늘여면 좋겠습니다 항상 건강하세요 복받세요 사랑합니다</t>
  </si>
  <si>
    <t>2026-04-20 15:38:56</t>
  </si>
  <si>
    <t>2026-04-20 15:42:08</t>
  </si>
  <si>
    <t>어르신들을 향한 선생님의 교육열정이 넘치십니다.</t>
  </si>
  <si>
    <t>2026-04-20 18:09:54</t>
  </si>
  <si>
    <t>2026-04-20 18:12:36</t>
  </si>
  <si>
    <t>보트판글씨가 뒷줄에서는 잘 보이지 안습니다</t>
  </si>
  <si>
    <t>2026-04-21 08:49:29</t>
  </si>
  <si>
    <t>2026-04-21 08:52:36</t>
  </si>
  <si>
    <t>수강생들이.  열심히해서 너무좋았습니다.</t>
  </si>
  <si>
    <t>2026-04-21 09:02:33</t>
  </si>
  <si>
    <t>2026-04-21 09:06:04</t>
  </si>
  <si>
    <t>2026-04-21 09:46:45</t>
  </si>
  <si>
    <t>2026-04-21 09:47:52</t>
  </si>
  <si>
    <t>2026-04-21 09:49:49</t>
  </si>
  <si>
    <t>2026-04-21 09:51:25</t>
  </si>
  <si>
    <t>열정적인 수업이 정말 좋았습니다</t>
  </si>
  <si>
    <t>2026-05-07 12:15:53</t>
  </si>
  <si>
    <t>2026-05-07 12:18:36</t>
  </si>
  <si>
    <t>선생님의 수업 가르침이 적극적이고
성의를 가지고 있으며 친절하다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</si>
</sst>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1" formatCode="_-* #,##0_-;\-* #,##0_-;_-* &quot;-&quot;_-;_-@_-"/>
    <numFmt numFmtId="176" formatCode="0.0%"/>
    <numFmt numFmtId="177" formatCode="0_);[Red]\(0\)"/>
    <numFmt numFmtId="178" formatCode="0.00_ "/>
    <numFmt numFmtId="179" formatCode="0.00_);[Red]\(0.00\)"/>
  </numFmts>
  <fonts count="53">
    <font>
      <sz val="11"/>
      <color theme="1"/>
      <name val="Arial"/>
    </font>
    <font>
      <sz val="11"/>
      <color theme="1"/>
      <name val="맑은 고딕"/>
      <family val="2"/>
      <charset val="129"/>
      <scheme val="minor"/>
    </font>
    <font>
      <sz val="11"/>
      <color theme="1"/>
      <name val="맑은 고딕"/>
      <family val="3"/>
      <charset val="129"/>
      <scheme val="minor"/>
    </font>
    <font>
      <sz val="11"/>
      <color rgb="FF006100"/>
      <name val="맑은 고딕"/>
      <family val="3"/>
      <charset val="129"/>
      <scheme val="minor"/>
    </font>
    <font>
      <sz val="11"/>
      <color rgb="FF9C0006"/>
      <name val="맑은 고딕"/>
      <family val="3"/>
      <charset val="129"/>
      <scheme val="minor"/>
    </font>
    <font>
      <sz val="11"/>
      <color rgb="FF000000"/>
      <name val="돋움"/>
      <family val="3"/>
      <charset val="129"/>
    </font>
    <font>
      <sz val="10"/>
      <color theme="1"/>
      <name val="김포평화바탕"/>
      <family val="3"/>
      <charset val="129"/>
    </font>
    <font>
      <sz val="18"/>
      <color theme="3"/>
      <name val="맑은 고딕"/>
      <family val="3"/>
      <charset val="129"/>
      <scheme val="major"/>
    </font>
    <font>
      <b/>
      <sz val="15"/>
      <color theme="3"/>
      <name val="맑은 고딕"/>
      <family val="3"/>
      <charset val="129"/>
      <scheme val="minor"/>
    </font>
    <font>
      <b/>
      <sz val="13"/>
      <color theme="3"/>
      <name val="맑은 고딕"/>
      <family val="3"/>
      <charset val="129"/>
      <scheme val="minor"/>
    </font>
    <font>
      <b/>
      <sz val="11"/>
      <color theme="3"/>
      <name val="맑은 고딕"/>
      <family val="3"/>
      <charset val="129"/>
      <scheme val="minor"/>
    </font>
    <font>
      <sz val="11"/>
      <color rgb="FF9C6500"/>
      <name val="맑은 고딕"/>
      <family val="3"/>
      <charset val="129"/>
      <scheme val="minor"/>
    </font>
    <font>
      <sz val="11"/>
      <color rgb="FF3F3F76"/>
      <name val="맑은 고딕"/>
      <family val="3"/>
      <charset val="129"/>
      <scheme val="minor"/>
    </font>
    <font>
      <b/>
      <sz val="11"/>
      <color rgb="FF3F3F3F"/>
      <name val="맑은 고딕"/>
      <family val="3"/>
      <charset val="129"/>
      <scheme val="minor"/>
    </font>
    <font>
      <b/>
      <sz val="11"/>
      <color rgb="FFFA7D00"/>
      <name val="맑은 고딕"/>
      <family val="3"/>
      <charset val="129"/>
      <scheme val="minor"/>
    </font>
    <font>
      <sz val="11"/>
      <color rgb="FFFA7D00"/>
      <name val="맑은 고딕"/>
      <family val="3"/>
      <charset val="129"/>
      <scheme val="minor"/>
    </font>
    <font>
      <b/>
      <sz val="11"/>
      <color theme="0"/>
      <name val="맑은 고딕"/>
      <family val="3"/>
      <charset val="129"/>
      <scheme val="minor"/>
    </font>
    <font>
      <sz val="11"/>
      <color rgb="FFFF0000"/>
      <name val="맑은 고딕"/>
      <family val="3"/>
      <charset val="129"/>
      <scheme val="minor"/>
    </font>
    <font>
      <i/>
      <sz val="11"/>
      <color rgb="FF7F7F7F"/>
      <name val="맑은 고딕"/>
      <family val="3"/>
      <charset val="129"/>
      <scheme val="minor"/>
    </font>
    <font>
      <b/>
      <sz val="11"/>
      <color theme="1"/>
      <name val="맑은 고딕"/>
      <family val="3"/>
      <charset val="129"/>
      <scheme val="minor"/>
    </font>
    <font>
      <sz val="11"/>
      <color theme="0"/>
      <name val="맑은 고딕"/>
      <family val="3"/>
      <charset val="129"/>
      <scheme val="minor"/>
    </font>
    <font>
      <u/>
      <sz val="11"/>
      <color theme="10"/>
      <name val="Arial"/>
      <family val="2"/>
    </font>
    <font>
      <u/>
      <sz val="11"/>
      <color theme="11"/>
      <name val="Arial"/>
      <family val="2"/>
    </font>
    <font>
      <sz val="11"/>
      <color theme="1"/>
      <name val="Arial"/>
      <family val="2"/>
    </font>
    <font>
      <b/>
      <sz val="9"/>
      <color indexed="81"/>
      <name val="Tahoma"/>
      <family val="2"/>
    </font>
    <font>
      <b/>
      <sz val="9"/>
      <color indexed="81"/>
      <name val="돋움"/>
      <family val="3"/>
      <charset val="129"/>
    </font>
    <font>
      <sz val="8"/>
      <name val="돋움"/>
      <family val="3"/>
      <charset val="129"/>
    </font>
    <font>
      <sz val="11"/>
      <color theme="1"/>
      <name val="돋움"/>
      <family val="3"/>
      <charset val="129"/>
    </font>
    <font>
      <sz val="10"/>
      <color theme="1"/>
      <name val="맑은 고딕"/>
      <family val="3"/>
      <charset val="129"/>
      <scheme val="minor"/>
    </font>
    <font>
      <b/>
      <sz val="20"/>
      <color theme="1"/>
      <name val="맑은 고딕"/>
      <family val="3"/>
      <charset val="129"/>
      <scheme val="major"/>
    </font>
    <font>
      <b/>
      <sz val="20"/>
      <color theme="1"/>
      <name val="맑은 고딕"/>
      <family val="3"/>
      <charset val="129"/>
      <scheme val="minor"/>
    </font>
    <font>
      <sz val="6"/>
      <color theme="1"/>
      <name val="맑은 고딕"/>
      <family val="3"/>
      <charset val="129"/>
      <scheme val="minor"/>
    </font>
    <font>
      <b/>
      <sz val="18"/>
      <color theme="1"/>
      <name val="맑은 고딕"/>
      <family val="3"/>
      <charset val="129"/>
      <scheme val="major"/>
    </font>
    <font>
      <b/>
      <sz val="20"/>
      <color rgb="FF000000"/>
      <name val="맑은 고딕"/>
      <family val="3"/>
      <charset val="129"/>
      <scheme val="minor"/>
    </font>
    <font>
      <sz val="16"/>
      <color theme="1"/>
      <name val="맑은 고딕"/>
      <family val="3"/>
      <charset val="129"/>
      <scheme val="minor"/>
    </font>
    <font>
      <sz val="12"/>
      <color rgb="FF000000"/>
      <name val="맑은 고딕"/>
      <family val="3"/>
      <charset val="129"/>
      <scheme val="minor"/>
    </font>
    <font>
      <sz val="10"/>
      <name val="맑은 고딕"/>
      <family val="3"/>
      <charset val="129"/>
      <scheme val="minor"/>
    </font>
    <font>
      <sz val="11"/>
      <name val="맑은 고딕"/>
      <family val="3"/>
      <charset val="129"/>
      <scheme val="minor"/>
    </font>
    <font>
      <b/>
      <sz val="11"/>
      <name val="맑은 고딕"/>
      <family val="3"/>
      <charset val="129"/>
      <scheme val="minor"/>
    </font>
    <font>
      <sz val="11"/>
      <color rgb="FF000000"/>
      <name val="맑은 고딕"/>
      <family val="3"/>
      <charset val="129"/>
      <scheme val="minor"/>
    </font>
    <font>
      <b/>
      <sz val="20"/>
      <color theme="1"/>
      <name val="맑은 고딕"/>
      <family val="3"/>
      <charset val="129"/>
    </font>
    <font>
      <sz val="11"/>
      <color theme="1"/>
      <name val="맑은 고딕"/>
      <family val="3"/>
      <charset val="129"/>
    </font>
    <font>
      <b/>
      <sz val="11"/>
      <color theme="1"/>
      <name val="맑은 고딕"/>
      <family val="3"/>
      <charset val="129"/>
    </font>
    <font>
      <b/>
      <sz val="18"/>
      <color rgb="FF000000"/>
      <name val="맑은 고딕"/>
      <family val="3"/>
      <charset val="129"/>
      <scheme val="major"/>
    </font>
    <font>
      <b/>
      <sz val="24"/>
      <name val="맑은 고딕"/>
      <family val="3"/>
      <charset val="129"/>
      <scheme val="minor"/>
    </font>
    <font>
      <b/>
      <sz val="10"/>
      <color theme="1"/>
      <name val="맑은 고딕"/>
      <family val="3"/>
      <charset val="129"/>
      <scheme val="minor"/>
    </font>
    <font>
      <b/>
      <sz val="10"/>
      <color rgb="FF000000"/>
      <name val="맑은 고딕"/>
      <family val="3"/>
      <charset val="129"/>
      <scheme val="minor"/>
    </font>
    <font>
      <sz val="11"/>
      <color rgb="FF00B0F0"/>
      <name val="Arial"/>
      <family val="2"/>
    </font>
    <font>
      <sz val="11"/>
      <name val="맑은 고딕"/>
      <family val="3"/>
      <charset val="129"/>
    </font>
    <font>
      <sz val="11"/>
      <color rgb="FF212121"/>
      <name val="맑은 고딕"/>
      <family val="3"/>
      <charset val="129"/>
      <scheme val="minor"/>
    </font>
    <font>
      <sz val="10"/>
      <color rgb="FF212121"/>
      <name val="Arial"/>
      <family val="2"/>
    </font>
    <font>
      <sz val="10"/>
      <color rgb="FF212121"/>
      <name val="맑은 고딕"/>
      <family val="2"/>
      <charset val="129"/>
    </font>
    <font>
      <sz val="10"/>
      <name val="함초롬돋움"/>
      <family val="3"/>
      <charset val="129"/>
    </font>
  </fonts>
  <fills count="42">
    <fill>
      <patternFill patternType="none"/>
    </fill>
    <fill>
      <patternFill patternType="gray125"/>
    </fill>
    <fill>
      <patternFill patternType="solid">
        <fgColor rgb="FFC6EFCE"/>
        <bgColor rgb="FFFFFFFF"/>
      </patternFill>
    </fill>
    <fill>
      <patternFill patternType="solid">
        <fgColor rgb="FFFFC7CE"/>
        <bgColor rgb="FFFFFFFF"/>
      </patternFill>
    </fill>
    <fill>
      <patternFill patternType="solid">
        <fgColor theme="4" tint="0.79995117038483843"/>
        <bgColor rgb="FFFFFFFF"/>
      </patternFill>
    </fill>
    <fill>
      <patternFill patternType="solid">
        <fgColor theme="3" tint="0.39997558519241921"/>
        <bgColor rgb="FFFFFFFF"/>
      </patternFill>
    </fill>
    <fill>
      <patternFill patternType="solid">
        <fgColor theme="3" tint="0.79995117038483843"/>
        <bgColor rgb="FFFFFFFF"/>
      </patternFill>
    </fill>
    <fill>
      <patternFill patternType="solid">
        <fgColor rgb="FFFFEB9C"/>
        <bgColor rgb="FFFFFFFF"/>
      </patternFill>
    </fill>
    <fill>
      <patternFill patternType="solid">
        <fgColor rgb="FFFFCC99"/>
        <bgColor rgb="FFFFFFFF"/>
      </patternFill>
    </fill>
    <fill>
      <patternFill patternType="solid">
        <fgColor rgb="FFF2F2F2"/>
        <bgColor rgb="FFFFFFFF"/>
      </patternFill>
    </fill>
    <fill>
      <patternFill patternType="solid">
        <fgColor rgb="FFA5A5A5"/>
        <bgColor rgb="FFFFFFFF"/>
      </patternFill>
    </fill>
    <fill>
      <patternFill patternType="solid">
        <fgColor rgb="FFFFFFCC"/>
        <bgColor rgb="FFFFFFFF"/>
      </patternFill>
    </fill>
    <fill>
      <patternFill patternType="solid">
        <fgColor theme="4"/>
        <bgColor rgb="FFFFFFFF"/>
      </patternFill>
    </fill>
    <fill>
      <patternFill patternType="solid">
        <fgColor theme="4" tint="0.59996337778862885"/>
        <bgColor rgb="FFFFFFFF"/>
      </patternFill>
    </fill>
    <fill>
      <patternFill patternType="solid">
        <fgColor theme="4" tint="0.39997558519241921"/>
        <bgColor rgb="FFFFFFFF"/>
      </patternFill>
    </fill>
    <fill>
      <patternFill patternType="solid">
        <fgColor theme="5"/>
        <bgColor rgb="FFFFFFFF"/>
      </patternFill>
    </fill>
    <fill>
      <patternFill patternType="solid">
        <fgColor theme="5" tint="0.79995117038483843"/>
        <bgColor rgb="FFFFFFFF"/>
      </patternFill>
    </fill>
    <fill>
      <patternFill patternType="solid">
        <fgColor theme="5" tint="0.59996337778862885"/>
        <bgColor rgb="FFFFFFFF"/>
      </patternFill>
    </fill>
    <fill>
      <patternFill patternType="solid">
        <fgColor theme="5" tint="0.39997558519241921"/>
        <bgColor rgb="FFFFFFFF"/>
      </patternFill>
    </fill>
    <fill>
      <patternFill patternType="solid">
        <fgColor theme="6"/>
        <bgColor rgb="FFFFFFFF"/>
      </patternFill>
    </fill>
    <fill>
      <patternFill patternType="solid">
        <fgColor theme="6" tint="0.79995117038483843"/>
        <bgColor rgb="FFFFFFFF"/>
      </patternFill>
    </fill>
    <fill>
      <patternFill patternType="solid">
        <fgColor theme="6" tint="0.59996337778862885"/>
        <bgColor rgb="FFFFFFFF"/>
      </patternFill>
    </fill>
    <fill>
      <patternFill patternType="solid">
        <fgColor theme="6" tint="0.39997558519241921"/>
        <bgColor rgb="FFFFFFFF"/>
      </patternFill>
    </fill>
    <fill>
      <patternFill patternType="solid">
        <fgColor theme="7"/>
        <bgColor rgb="FFFFFFFF"/>
      </patternFill>
    </fill>
    <fill>
      <patternFill patternType="solid">
        <fgColor theme="7" tint="0.79995117038483843"/>
        <bgColor rgb="FFFFFFFF"/>
      </patternFill>
    </fill>
    <fill>
      <patternFill patternType="solid">
        <fgColor theme="7" tint="0.59996337778862885"/>
        <bgColor rgb="FFFFFFFF"/>
      </patternFill>
    </fill>
    <fill>
      <patternFill patternType="solid">
        <fgColor theme="7" tint="0.39997558519241921"/>
        <bgColor rgb="FFFFFFFF"/>
      </patternFill>
    </fill>
    <fill>
      <patternFill patternType="solid">
        <fgColor theme="8"/>
        <bgColor rgb="FFFFFFFF"/>
      </patternFill>
    </fill>
    <fill>
      <patternFill patternType="solid">
        <fgColor theme="8" tint="0.79995117038483843"/>
        <bgColor rgb="FFFFFFFF"/>
      </patternFill>
    </fill>
    <fill>
      <patternFill patternType="solid">
        <fgColor theme="8" tint="0.59996337778862885"/>
        <bgColor rgb="FFFFFFFF"/>
      </patternFill>
    </fill>
    <fill>
      <patternFill patternType="solid">
        <fgColor theme="8" tint="0.39997558519241921"/>
        <bgColor rgb="FFFFFFFF"/>
      </patternFill>
    </fill>
    <fill>
      <patternFill patternType="solid">
        <fgColor theme="9"/>
        <bgColor rgb="FFFFFFFF"/>
      </patternFill>
    </fill>
    <fill>
      <patternFill patternType="solid">
        <fgColor theme="9" tint="0.79995117038483843"/>
        <bgColor rgb="FFFFFFFF"/>
      </patternFill>
    </fill>
    <fill>
      <patternFill patternType="solid">
        <fgColor theme="9" tint="0.59996337778862885"/>
        <bgColor rgb="FFFFFFFF"/>
      </patternFill>
    </fill>
    <fill>
      <patternFill patternType="solid">
        <fgColor theme="9" tint="0.39997558519241921"/>
        <bgColor rgb="FFFFFFFF"/>
      </patternFill>
    </fill>
    <fill>
      <patternFill patternType="solid">
        <fgColor rgb="FFDDE9F7"/>
        <bgColor rgb="FFFFFFFF"/>
      </patternFill>
    </fill>
    <fill>
      <patternFill patternType="solid">
        <fgColor theme="4" tint="0.79998168889431442"/>
        <bgColor rgb="FFFFFFFF"/>
      </patternFill>
    </fill>
    <fill>
      <patternFill patternType="solid">
        <fgColor theme="4" tint="0.79998168889431442"/>
        <bgColor indexed="64"/>
      </patternFill>
    </fill>
    <fill>
      <patternFill patternType="solid">
        <fgColor theme="0"/>
        <bgColor indexed="64"/>
      </patternFill>
    </fill>
    <fill>
      <patternFill patternType="solid">
        <fgColor theme="0"/>
        <bgColor rgb="FFFFFFFF"/>
      </patternFill>
    </fill>
    <fill>
      <patternFill patternType="solid">
        <fgColor theme="4" tint="0.59999389629810485"/>
        <bgColor rgb="FFFFFFFF"/>
      </patternFill>
    </fill>
    <fill>
      <patternFill patternType="solid">
        <fgColor theme="4" tint="0.59999389629810485"/>
        <bgColor indexed="64"/>
      </patternFill>
    </fill>
  </fills>
  <borders count="40">
    <border>
      <left/>
      <right/>
      <top/>
      <bottom/>
      <diagonal/>
    </border>
    <border>
      <left style="thin">
        <color rgb="FF000000"/>
      </left>
      <right style="thin">
        <color rgb="FF000000"/>
      </right>
      <top style="medium">
        <color rgb="FF000000"/>
      </top>
      <bottom/>
      <diagonal/>
    </border>
    <border>
      <left style="thin">
        <color rgb="FF000000"/>
      </left>
      <right style="thin">
        <color rgb="FF000000"/>
      </right>
      <top style="thin">
        <color rgb="FF000000"/>
      </top>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000000"/>
      </left>
      <right style="thin">
        <color rgb="FF000000"/>
      </right>
      <top style="medium">
        <color indexed="64"/>
      </top>
      <bottom/>
      <diagonal/>
    </border>
    <border>
      <left style="thin">
        <color rgb="FF000000"/>
      </left>
      <right style="thin">
        <color rgb="FF000000"/>
      </right>
      <top style="medium">
        <color indexed="64"/>
      </top>
      <bottom/>
      <diagonal/>
    </border>
    <border>
      <left style="medium">
        <color indexed="64"/>
      </left>
      <right style="thin">
        <color rgb="FF000000"/>
      </right>
      <top style="medium">
        <color indexed="64"/>
      </top>
      <bottom/>
      <diagonal/>
    </border>
    <border>
      <left style="medium">
        <color indexed="64"/>
      </left>
      <right style="thin">
        <color rgb="FF000000"/>
      </right>
      <top style="medium">
        <color rgb="FF000000"/>
      </top>
      <bottom/>
      <diagonal/>
    </border>
    <border>
      <left style="thin">
        <color indexed="64"/>
      </left>
      <right style="thin">
        <color indexed="64"/>
      </right>
      <top style="thin">
        <color indexed="64"/>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thin">
        <color rgb="FF000000"/>
      </left>
      <right style="medium">
        <color indexed="64"/>
      </right>
      <top style="medium">
        <color rgb="FF000000"/>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000000"/>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diagonal/>
    </border>
  </borders>
  <cellStyleXfs count="58">
    <xf numFmtId="0" fontId="0" fillId="0" borderId="0"/>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0" fontId="23" fillId="0" borderId="0"/>
    <xf numFmtId="9" fontId="23"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0" applyNumberFormat="0" applyBorder="0" applyAlignment="0" applyProtection="0">
      <alignment vertical="center"/>
    </xf>
    <xf numFmtId="0" fontId="5" fillId="0" borderId="0"/>
    <xf numFmtId="41" fontId="23" fillId="0" borderId="0" applyFont="0" applyFill="0" applyBorder="0" applyAlignment="0" applyProtection="0">
      <alignment vertical="center"/>
    </xf>
    <xf numFmtId="0" fontId="4" fillId="3" borderId="0" applyNumberFormat="0" applyBorder="0" applyAlignment="0" applyProtection="0">
      <alignment vertical="center"/>
    </xf>
    <xf numFmtId="0" fontId="3" fillId="2"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7" borderId="0" applyNumberFormat="0" applyBorder="0" applyAlignment="0" applyProtection="0">
      <alignment vertical="center"/>
    </xf>
    <xf numFmtId="0" fontId="12" fillId="8" borderId="6" applyNumberFormat="0" applyAlignment="0" applyProtection="0">
      <alignment vertical="center"/>
    </xf>
    <xf numFmtId="0" fontId="13" fillId="9" borderId="7" applyNumberFormat="0" applyAlignment="0" applyProtection="0">
      <alignment vertical="center"/>
    </xf>
    <xf numFmtId="0" fontId="14" fillId="9" borderId="6" applyNumberFormat="0" applyAlignment="0" applyProtection="0">
      <alignment vertical="center"/>
    </xf>
    <xf numFmtId="0" fontId="15" fillId="0" borderId="8" applyNumberFormat="0" applyFill="0" applyAlignment="0" applyProtection="0">
      <alignment vertical="center"/>
    </xf>
    <xf numFmtId="0" fontId="16" fillId="10" borderId="9" applyNumberForma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1" applyNumberFormat="0" applyFill="0" applyAlignment="0" applyProtection="0">
      <alignment vertical="center"/>
    </xf>
    <xf numFmtId="0" fontId="20" fillId="12" borderId="0" applyNumberFormat="0" applyBorder="0" applyAlignment="0" applyProtection="0">
      <alignment vertical="center"/>
    </xf>
    <xf numFmtId="0" fontId="2" fillId="4" borderId="0" applyNumberFormat="0" applyBorder="0" applyAlignment="0" applyProtection="0">
      <alignment vertical="center"/>
    </xf>
    <xf numFmtId="0" fontId="2"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 fillId="16" borderId="0" applyNumberFormat="0" applyBorder="0" applyAlignment="0" applyProtection="0">
      <alignment vertical="center"/>
    </xf>
    <xf numFmtId="0" fontId="2"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 fillId="24" borderId="0" applyNumberFormat="0" applyBorder="0" applyAlignment="0" applyProtection="0">
      <alignment vertical="center"/>
    </xf>
    <xf numFmtId="0" fontId="2"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 fillId="28" borderId="0" applyNumberFormat="0" applyBorder="0" applyAlignment="0" applyProtection="0">
      <alignment vertical="center"/>
    </xf>
    <xf numFmtId="0" fontId="2"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 fillId="32" borderId="0" applyNumberFormat="0" applyBorder="0" applyAlignment="0" applyProtection="0">
      <alignment vertical="center"/>
    </xf>
    <xf numFmtId="0" fontId="2" fillId="33" borderId="0" applyNumberFormat="0" applyBorder="0" applyAlignment="0" applyProtection="0">
      <alignment vertical="center"/>
    </xf>
    <xf numFmtId="0" fontId="20" fillId="34" borderId="0" applyNumberFormat="0" applyBorder="0" applyAlignment="0" applyProtection="0">
      <alignment vertical="center"/>
    </xf>
    <xf numFmtId="0" fontId="2" fillId="0" borderId="0">
      <alignment vertical="center"/>
    </xf>
    <xf numFmtId="0" fontId="2" fillId="11" borderId="10"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 fillId="0" borderId="0">
      <alignment vertical="center"/>
    </xf>
    <xf numFmtId="41" fontId="2" fillId="0" borderId="0" applyFont="0" applyFill="0" applyBorder="0" applyAlignment="0" applyProtection="0">
      <alignment vertical="center"/>
    </xf>
  </cellStyleXfs>
  <cellXfs count="264">
    <xf numFmtId="0" fontId="0" fillId="0" borderId="0" xfId="0"/>
    <xf numFmtId="0" fontId="0" fillId="0" borderId="0" xfId="0" applyBorder="1"/>
    <xf numFmtId="10" fontId="0" fillId="0" borderId="0" xfId="0" applyNumberFormat="1"/>
    <xf numFmtId="10" fontId="6" fillId="0" borderId="0" xfId="0" applyNumberFormat="1" applyFont="1" applyBorder="1" applyAlignment="1">
      <alignment vertical="center"/>
    </xf>
    <xf numFmtId="0" fontId="19" fillId="6" borderId="13" xfId="0" applyFont="1" applyFill="1" applyBorder="1" applyAlignment="1">
      <alignment horizontal="center" vertical="center"/>
    </xf>
    <xf numFmtId="0" fontId="19" fillId="6" borderId="14" xfId="0" applyFont="1" applyFill="1" applyBorder="1" applyAlignment="1">
      <alignment horizontal="center" vertical="center"/>
    </xf>
    <xf numFmtId="41" fontId="19" fillId="6" borderId="14" xfId="9" applyFont="1" applyFill="1" applyBorder="1" applyAlignment="1">
      <alignment horizontal="center" vertical="center"/>
    </xf>
    <xf numFmtId="10" fontId="19" fillId="6" borderId="14" xfId="0" applyNumberFormat="1" applyFont="1" applyFill="1" applyBorder="1" applyAlignment="1">
      <alignment horizontal="center" vertical="center" wrapText="1"/>
    </xf>
    <xf numFmtId="0" fontId="19" fillId="6" borderId="15" xfId="0" applyFont="1" applyFill="1" applyBorder="1" applyAlignment="1">
      <alignment horizontal="center" vertical="center" wrapText="1"/>
    </xf>
    <xf numFmtId="0" fontId="19" fillId="5" borderId="25" xfId="0" applyFont="1" applyFill="1" applyBorder="1" applyAlignment="1">
      <alignment horizontal="center" vertical="center"/>
    </xf>
    <xf numFmtId="0" fontId="2" fillId="0" borderId="0" xfId="0" applyFont="1"/>
    <xf numFmtId="0" fontId="30" fillId="0" borderId="0" xfId="0" applyFont="1" applyBorder="1" applyAlignment="1">
      <alignment horizontal="left" vertical="center"/>
    </xf>
    <xf numFmtId="0" fontId="31" fillId="6" borderId="2" xfId="0" applyFont="1" applyFill="1" applyBorder="1" applyAlignment="1">
      <alignment horizontal="center" vertical="center" wrapText="1" shrinkToFit="1"/>
    </xf>
    <xf numFmtId="0" fontId="31" fillId="6" borderId="2" xfId="0" applyFont="1" applyFill="1" applyBorder="1" applyAlignment="1">
      <alignment horizontal="center" vertical="center" shrinkToFit="1"/>
    </xf>
    <xf numFmtId="0" fontId="19" fillId="5" borderId="21" xfId="0" applyFont="1" applyFill="1" applyBorder="1" applyAlignment="1">
      <alignment horizontal="center" vertical="center" shrinkToFit="1"/>
    </xf>
    <xf numFmtId="0" fontId="2" fillId="0" borderId="0" xfId="0" applyFont="1" applyBorder="1"/>
    <xf numFmtId="9" fontId="3" fillId="0" borderId="0" xfId="6" applyNumberFormat="1" applyFont="1" applyFill="1" applyBorder="1" applyAlignment="1">
      <alignment vertical="center"/>
    </xf>
    <xf numFmtId="0" fontId="33" fillId="0" borderId="0" xfId="1" applyFont="1" applyAlignment="1">
      <alignment vertical="center"/>
    </xf>
    <xf numFmtId="0" fontId="35" fillId="0" borderId="0" xfId="0" applyFont="1" applyFill="1" applyBorder="1" applyAlignment="1">
      <alignment horizontal="left" vertical="center" shrinkToFit="1"/>
    </xf>
    <xf numFmtId="0" fontId="2" fillId="0" borderId="0" xfId="0" applyFont="1" applyFill="1" applyBorder="1" applyAlignment="1">
      <alignment horizontal="center" vertical="center"/>
    </xf>
    <xf numFmtId="2" fontId="19" fillId="0" borderId="0" xfId="5" applyNumberFormat="1" applyFont="1" applyFill="1" applyBorder="1" applyAlignment="1">
      <alignment vertical="center"/>
    </xf>
    <xf numFmtId="9" fontId="19" fillId="6" borderId="14" xfId="5" applyFont="1" applyFill="1" applyBorder="1" applyAlignment="1">
      <alignment horizontal="center" vertical="center"/>
    </xf>
    <xf numFmtId="0" fontId="19" fillId="6" borderId="14" xfId="0" applyFont="1" applyFill="1" applyBorder="1" applyAlignment="1">
      <alignment horizontal="center" vertical="center" shrinkToFit="1"/>
    </xf>
    <xf numFmtId="0" fontId="19" fillId="6" borderId="15" xfId="0" applyFont="1" applyFill="1" applyBorder="1" applyAlignment="1">
      <alignment horizontal="center" vertical="center" shrinkToFit="1"/>
    </xf>
    <xf numFmtId="0" fontId="19" fillId="5" borderId="32" xfId="0" applyFont="1" applyFill="1" applyBorder="1" applyAlignment="1">
      <alignment vertical="center"/>
    </xf>
    <xf numFmtId="0" fontId="19" fillId="5" borderId="25" xfId="0" applyFont="1" applyFill="1" applyBorder="1" applyAlignment="1">
      <alignment vertical="center"/>
    </xf>
    <xf numFmtId="1" fontId="19" fillId="5" borderId="25" xfId="5" applyNumberFormat="1" applyFont="1" applyFill="1" applyBorder="1" applyAlignment="1">
      <alignment horizontal="center" vertical="center"/>
    </xf>
    <xf numFmtId="9" fontId="19" fillId="5" borderId="25" xfId="5" applyFont="1" applyFill="1" applyBorder="1" applyAlignment="1">
      <alignment horizontal="center" vertical="center"/>
    </xf>
    <xf numFmtId="2" fontId="19" fillId="5" borderId="25" xfId="5" applyNumberFormat="1" applyFont="1" applyFill="1" applyBorder="1" applyAlignment="1">
      <alignment horizontal="center" vertical="center"/>
    </xf>
    <xf numFmtId="0" fontId="2" fillId="0" borderId="0" xfId="0" applyFont="1" applyFill="1"/>
    <xf numFmtId="0" fontId="2" fillId="0" borderId="0" xfId="0" applyFont="1" applyAlignment="1">
      <alignment horizontal="center" vertical="center"/>
    </xf>
    <xf numFmtId="0" fontId="28" fillId="0" borderId="0" xfId="0" applyFont="1" applyAlignment="1">
      <alignment horizontal="center" vertical="center"/>
    </xf>
    <xf numFmtId="0" fontId="23" fillId="0" borderId="0" xfId="0" applyFont="1" applyAlignment="1">
      <alignment horizontal="right"/>
    </xf>
    <xf numFmtId="2" fontId="19" fillId="5" borderId="33" xfId="5" applyNumberFormat="1" applyFont="1" applyFill="1" applyBorder="1" applyAlignment="1">
      <alignment horizontal="center" vertical="center"/>
    </xf>
    <xf numFmtId="0" fontId="31" fillId="6" borderId="30" xfId="0" applyFont="1" applyFill="1" applyBorder="1" applyAlignment="1">
      <alignment horizontal="center" vertical="center" shrinkToFit="1"/>
    </xf>
    <xf numFmtId="0" fontId="19" fillId="5" borderId="34" xfId="0" applyFont="1" applyFill="1" applyBorder="1" applyAlignment="1">
      <alignment horizontal="center" vertical="center" shrinkToFit="1"/>
    </xf>
    <xf numFmtId="0" fontId="37" fillId="38" borderId="0" xfId="4" applyFont="1" applyFill="1" applyAlignment="1">
      <alignment horizontal="center" vertical="center"/>
    </xf>
    <xf numFmtId="0" fontId="37" fillId="38" borderId="0" xfId="4" applyFont="1" applyFill="1"/>
    <xf numFmtId="0" fontId="2" fillId="0" borderId="13" xfId="0" applyFont="1" applyBorder="1" applyAlignment="1">
      <alignment horizontal="center" vertical="center"/>
    </xf>
    <xf numFmtId="0" fontId="2" fillId="0" borderId="16" xfId="0" applyFont="1" applyBorder="1" applyAlignment="1">
      <alignment horizontal="center" vertical="center"/>
    </xf>
    <xf numFmtId="0" fontId="41" fillId="0" borderId="0" xfId="0" applyFont="1"/>
    <xf numFmtId="0" fontId="41" fillId="0" borderId="0" xfId="3" applyFont="1">
      <alignment vertical="center"/>
    </xf>
    <xf numFmtId="0" fontId="41" fillId="0" borderId="0" xfId="3" applyFont="1" applyAlignment="1">
      <alignment vertical="center" wrapText="1"/>
    </xf>
    <xf numFmtId="0" fontId="41" fillId="0" borderId="0" xfId="3" applyFont="1" applyBorder="1" applyAlignment="1">
      <alignment vertical="center" wrapText="1"/>
    </xf>
    <xf numFmtId="0" fontId="41" fillId="0" borderId="0" xfId="3" applyFont="1" applyBorder="1">
      <alignment vertical="center"/>
    </xf>
    <xf numFmtId="0" fontId="42" fillId="0" borderId="0" xfId="0" applyFont="1" applyBorder="1" applyAlignment="1">
      <alignment vertical="center"/>
    </xf>
    <xf numFmtId="0" fontId="19" fillId="5" borderId="23" xfId="0" applyFont="1" applyFill="1" applyBorder="1" applyAlignment="1">
      <alignment vertical="center"/>
    </xf>
    <xf numFmtId="0" fontId="2" fillId="5" borderId="22" xfId="0" applyFont="1" applyFill="1" applyBorder="1" applyAlignment="1">
      <alignment horizontal="center" vertical="center"/>
    </xf>
    <xf numFmtId="0" fontId="39" fillId="0" borderId="16" xfId="0" applyFont="1" applyBorder="1" applyAlignment="1">
      <alignment horizontal="center" vertical="center" wrapText="1"/>
    </xf>
    <xf numFmtId="0" fontId="19" fillId="6" borderId="2" xfId="0" applyFont="1" applyFill="1" applyBorder="1" applyAlignment="1">
      <alignment horizontal="center" vertical="center" shrinkToFit="1"/>
    </xf>
    <xf numFmtId="0" fontId="19" fillId="6" borderId="2" xfId="0" applyFont="1" applyFill="1" applyBorder="1" applyAlignment="1">
      <alignment horizontal="center" vertical="center" wrapText="1" shrinkToFit="1"/>
    </xf>
    <xf numFmtId="0" fontId="19" fillId="6" borderId="30" xfId="0" applyFont="1" applyFill="1" applyBorder="1" applyAlignment="1">
      <alignment horizontal="center" vertical="center"/>
    </xf>
    <xf numFmtId="0" fontId="19" fillId="5" borderId="24" xfId="0" applyFont="1" applyFill="1" applyBorder="1" applyAlignment="1">
      <alignment horizontal="center" vertical="center"/>
    </xf>
    <xf numFmtId="0" fontId="19" fillId="5" borderId="1" xfId="0" applyFont="1" applyFill="1" applyBorder="1" applyAlignment="1">
      <alignment horizontal="center" vertical="center"/>
    </xf>
    <xf numFmtId="0" fontId="19" fillId="5" borderId="31" xfId="0" applyFont="1" applyFill="1" applyBorder="1" applyAlignment="1">
      <alignment horizontal="center" vertical="center"/>
    </xf>
    <xf numFmtId="0" fontId="37" fillId="38" borderId="0" xfId="4" applyFont="1" applyFill="1" applyBorder="1"/>
    <xf numFmtId="0" fontId="38" fillId="38" borderId="0" xfId="4" applyFont="1" applyFill="1" applyBorder="1" applyAlignment="1">
      <alignment horizontal="center" vertical="center"/>
    </xf>
    <xf numFmtId="0" fontId="38" fillId="38" borderId="0" xfId="4" applyFont="1" applyFill="1" applyBorder="1" applyAlignment="1">
      <alignment horizontal="left" vertical="center"/>
    </xf>
    <xf numFmtId="10" fontId="38" fillId="38" borderId="0" xfId="4" applyNumberFormat="1" applyFont="1" applyFill="1" applyBorder="1" applyAlignment="1">
      <alignment horizontal="center" vertical="center"/>
    </xf>
    <xf numFmtId="49" fontId="38" fillId="39" borderId="0" xfId="4" applyNumberFormat="1" applyFont="1" applyFill="1" applyBorder="1" applyAlignment="1">
      <alignment horizontal="center" vertical="center" wrapText="1"/>
    </xf>
    <xf numFmtId="49" fontId="38" fillId="38" borderId="0" xfId="4" applyNumberFormat="1" applyFont="1" applyFill="1" applyBorder="1" applyAlignment="1">
      <alignment horizontal="center" vertical="center" wrapText="1"/>
    </xf>
    <xf numFmtId="0" fontId="37" fillId="38" borderId="0" xfId="4" applyFont="1" applyFill="1" applyAlignment="1">
      <alignment horizontal="left"/>
    </xf>
    <xf numFmtId="0" fontId="38" fillId="0" borderId="0" xfId="4" applyFont="1" applyFill="1" applyBorder="1" applyAlignment="1">
      <alignment horizontal="center" vertical="center"/>
    </xf>
    <xf numFmtId="0" fontId="37" fillId="0" borderId="0" xfId="4" applyFont="1" applyFill="1" applyAlignment="1">
      <alignment horizontal="center"/>
    </xf>
    <xf numFmtId="0" fontId="41" fillId="0" borderId="0" xfId="3" applyFont="1" applyAlignment="1">
      <alignment horizontal="center" vertical="center"/>
    </xf>
    <xf numFmtId="0" fontId="2" fillId="0" borderId="0" xfId="0" applyFont="1" applyBorder="1" applyAlignment="1"/>
    <xf numFmtId="0" fontId="2" fillId="0" borderId="0" xfId="0" applyFont="1" applyAlignment="1">
      <alignment horizontal="left"/>
    </xf>
    <xf numFmtId="0" fontId="2" fillId="0" borderId="0" xfId="0" applyFont="1" applyAlignment="1">
      <alignment horizontal="center"/>
    </xf>
    <xf numFmtId="0" fontId="45" fillId="0" borderId="0" xfId="0" applyFont="1" applyBorder="1" applyAlignment="1">
      <alignment horizontal="center"/>
    </xf>
    <xf numFmtId="0" fontId="45" fillId="0" borderId="0" xfId="0" applyFont="1" applyBorder="1" applyAlignment="1">
      <alignment horizontal="left"/>
    </xf>
    <xf numFmtId="0" fontId="45" fillId="0" borderId="0" xfId="0" applyFont="1" applyBorder="1"/>
    <xf numFmtId="0" fontId="45" fillId="0" borderId="0" xfId="0" applyFont="1"/>
    <xf numFmtId="0" fontId="28" fillId="0" borderId="0" xfId="0" applyFont="1" applyBorder="1"/>
    <xf numFmtId="0" fontId="28" fillId="0" borderId="0" xfId="0" applyFont="1" applyBorder="1" applyAlignment="1"/>
    <xf numFmtId="0" fontId="28" fillId="0" borderId="0" xfId="0" applyFont="1"/>
    <xf numFmtId="0" fontId="45" fillId="0" borderId="13" xfId="0" applyFont="1" applyBorder="1" applyAlignment="1">
      <alignment horizontal="center"/>
    </xf>
    <xf numFmtId="0" fontId="45" fillId="0" borderId="14" xfId="0" applyFont="1" applyBorder="1" applyAlignment="1">
      <alignment horizontal="left"/>
    </xf>
    <xf numFmtId="0" fontId="45" fillId="0" borderId="14" xfId="0" applyFont="1" applyBorder="1"/>
    <xf numFmtId="0" fontId="45" fillId="0" borderId="14" xfId="0" applyFont="1" applyBorder="1" applyAlignment="1">
      <alignment horizontal="center"/>
    </xf>
    <xf numFmtId="0" fontId="28" fillId="0" borderId="0" xfId="0" applyFont="1" applyBorder="1" applyAlignment="1">
      <alignment horizontal="left" vertical="center"/>
    </xf>
    <xf numFmtId="0" fontId="28" fillId="0" borderId="0" xfId="0" applyFont="1" applyBorder="1" applyAlignment="1">
      <alignment horizontal="left" vertical="center" shrinkToFit="1"/>
    </xf>
    <xf numFmtId="0" fontId="28" fillId="0" borderId="0" xfId="0" applyFont="1" applyBorder="1" applyAlignment="1">
      <alignment horizontal="left" shrinkToFit="1"/>
    </xf>
    <xf numFmtId="0" fontId="2" fillId="0" borderId="0" xfId="0" applyFont="1" applyBorder="1" applyAlignment="1">
      <alignment vertical="center"/>
    </xf>
    <xf numFmtId="0" fontId="36" fillId="0" borderId="16" xfId="0" applyFont="1" applyBorder="1" applyAlignment="1">
      <alignment horizontal="center" vertical="center"/>
    </xf>
    <xf numFmtId="0" fontId="36" fillId="0" borderId="18" xfId="0" applyFont="1" applyBorder="1" applyAlignment="1">
      <alignment horizontal="center" vertical="center"/>
    </xf>
    <xf numFmtId="0" fontId="41" fillId="0" borderId="16" xfId="4" applyFont="1" applyFill="1" applyBorder="1" applyAlignment="1">
      <alignment horizontal="center" vertical="center" wrapText="1"/>
    </xf>
    <xf numFmtId="0" fontId="47" fillId="0" borderId="0" xfId="0" applyFont="1"/>
    <xf numFmtId="0" fontId="37" fillId="0" borderId="13" xfId="4" applyFont="1" applyFill="1" applyBorder="1" applyAlignment="1">
      <alignment horizontal="center" vertical="center"/>
    </xf>
    <xf numFmtId="0" fontId="37" fillId="38" borderId="0" xfId="4" applyFont="1" applyFill="1" applyBorder="1" applyAlignment="1">
      <alignment horizontal="center" vertical="center" wrapText="1"/>
    </xf>
    <xf numFmtId="0" fontId="37" fillId="38" borderId="0" xfId="4" applyFont="1" applyFill="1" applyBorder="1" applyAlignment="1">
      <alignment horizontal="center" vertical="center"/>
    </xf>
    <xf numFmtId="0" fontId="45" fillId="0" borderId="32" xfId="0" applyFont="1" applyBorder="1" applyAlignment="1">
      <alignment horizontal="center" vertical="center"/>
    </xf>
    <xf numFmtId="0" fontId="45" fillId="0" borderId="25" xfId="0" applyFont="1" applyBorder="1" applyAlignment="1">
      <alignment horizontal="center" vertical="center"/>
    </xf>
    <xf numFmtId="0" fontId="36" fillId="0" borderId="13" xfId="0" applyFont="1" applyBorder="1" applyAlignment="1">
      <alignment horizontal="center" vertical="center"/>
    </xf>
    <xf numFmtId="0" fontId="42" fillId="6" borderId="36" xfId="4" applyFont="1" applyFill="1" applyBorder="1" applyAlignment="1">
      <alignment horizontal="center" vertical="center" wrapText="1"/>
    </xf>
    <xf numFmtId="0" fontId="42" fillId="6" borderId="35" xfId="4" applyFont="1" applyFill="1" applyBorder="1" applyAlignment="1">
      <alignment horizontal="center" vertical="center" wrapText="1"/>
    </xf>
    <xf numFmtId="0" fontId="42" fillId="6" borderId="37" xfId="4" applyFont="1" applyFill="1" applyBorder="1" applyAlignment="1">
      <alignment horizontal="center" vertical="center" wrapText="1"/>
    </xf>
    <xf numFmtId="0" fontId="41" fillId="0" borderId="13" xfId="4" applyFont="1" applyFill="1" applyBorder="1" applyAlignment="1">
      <alignment horizontal="center" vertical="center" wrapText="1"/>
    </xf>
    <xf numFmtId="0" fontId="41" fillId="0" borderId="18" xfId="4" applyFont="1" applyFill="1" applyBorder="1" applyAlignment="1">
      <alignment horizontal="center" vertical="center" wrapText="1"/>
    </xf>
    <xf numFmtId="0" fontId="37" fillId="38" borderId="0" xfId="4" applyFont="1" applyFill="1" applyBorder="1" applyAlignment="1">
      <alignment vertical="center" wrapText="1"/>
    </xf>
    <xf numFmtId="176" fontId="37" fillId="0" borderId="17" xfId="0" applyNumberFormat="1" applyFont="1" applyFill="1" applyBorder="1" applyAlignment="1">
      <alignment horizontal="center" vertical="center"/>
    </xf>
    <xf numFmtId="176" fontId="37" fillId="0" borderId="12" xfId="0" applyNumberFormat="1" applyFont="1" applyFill="1" applyBorder="1" applyAlignment="1">
      <alignment horizontal="center" vertical="center"/>
    </xf>
    <xf numFmtId="177" fontId="37" fillId="0" borderId="12" xfId="0" applyNumberFormat="1" applyFont="1" applyFill="1" applyBorder="1" applyAlignment="1">
      <alignment horizontal="center" vertical="center"/>
    </xf>
    <xf numFmtId="10" fontId="37" fillId="38" borderId="0" xfId="4" applyNumberFormat="1" applyFont="1" applyFill="1" applyAlignment="1">
      <alignment horizontal="center" vertical="center"/>
    </xf>
    <xf numFmtId="0" fontId="38" fillId="40" borderId="36" xfId="4" applyFont="1" applyFill="1" applyBorder="1" applyAlignment="1">
      <alignment horizontal="center" vertical="center"/>
    </xf>
    <xf numFmtId="0" fontId="38" fillId="40" borderId="35" xfId="4" applyFont="1" applyFill="1" applyBorder="1" applyAlignment="1">
      <alignment horizontal="center" vertical="center"/>
    </xf>
    <xf numFmtId="0" fontId="38" fillId="41" borderId="35" xfId="4" applyFont="1" applyFill="1" applyBorder="1" applyAlignment="1">
      <alignment horizontal="center" vertical="center"/>
    </xf>
    <xf numFmtId="10" fontId="38" fillId="40" borderId="35" xfId="4" applyNumberFormat="1" applyFont="1" applyFill="1" applyBorder="1" applyAlignment="1">
      <alignment horizontal="center" vertical="center"/>
    </xf>
    <xf numFmtId="0" fontId="38" fillId="40" borderId="37" xfId="4" applyFont="1" applyFill="1" applyBorder="1" applyAlignment="1">
      <alignment horizontal="center" vertical="center"/>
    </xf>
    <xf numFmtId="0" fontId="37" fillId="0" borderId="16" xfId="4" applyFont="1" applyFill="1" applyBorder="1" applyAlignment="1">
      <alignment horizontal="center" vertical="center"/>
    </xf>
    <xf numFmtId="0" fontId="37" fillId="0" borderId="18" xfId="4" applyFont="1" applyFill="1" applyBorder="1" applyAlignment="1">
      <alignment horizontal="center" vertical="center"/>
    </xf>
    <xf numFmtId="0" fontId="19" fillId="5" borderId="32" xfId="0" applyFont="1" applyFill="1" applyBorder="1" applyAlignment="1">
      <alignment horizontal="center" vertical="center"/>
    </xf>
    <xf numFmtId="0" fontId="2" fillId="5" borderId="25" xfId="0" applyFont="1" applyFill="1" applyBorder="1" applyAlignment="1">
      <alignment horizontal="center" vertical="center" wrapText="1"/>
    </xf>
    <xf numFmtId="9" fontId="19" fillId="5" borderId="25" xfId="0" applyNumberFormat="1" applyFont="1" applyFill="1" applyBorder="1" applyAlignment="1">
      <alignment horizontal="center" vertical="center"/>
    </xf>
    <xf numFmtId="177" fontId="2" fillId="5" borderId="25" xfId="0" applyNumberFormat="1" applyFont="1" applyFill="1" applyBorder="1" applyAlignment="1">
      <alignment horizontal="center" vertical="center"/>
    </xf>
    <xf numFmtId="9" fontId="2" fillId="5" borderId="33" xfId="0" applyNumberFormat="1" applyFont="1" applyFill="1" applyBorder="1" applyAlignment="1">
      <alignment horizontal="center" vertical="center"/>
    </xf>
    <xf numFmtId="176" fontId="37" fillId="0" borderId="14" xfId="0" applyNumberFormat="1" applyFont="1" applyFill="1" applyBorder="1" applyAlignment="1">
      <alignment horizontal="center" vertical="center"/>
    </xf>
    <xf numFmtId="177" fontId="37" fillId="0" borderId="14" xfId="0" applyNumberFormat="1" applyFont="1" applyFill="1" applyBorder="1" applyAlignment="1">
      <alignment horizontal="center" vertical="center"/>
    </xf>
    <xf numFmtId="176" fontId="37" fillId="0" borderId="15" xfId="0" applyNumberFormat="1" applyFont="1" applyFill="1" applyBorder="1" applyAlignment="1">
      <alignment horizontal="center" vertical="center"/>
    </xf>
    <xf numFmtId="0" fontId="2" fillId="0" borderId="0" xfId="0" applyFont="1" applyAlignment="1">
      <alignment vertical="center"/>
    </xf>
    <xf numFmtId="0" fontId="28" fillId="0" borderId="0" xfId="0" applyFont="1" applyBorder="1" applyAlignment="1">
      <alignment vertical="center"/>
    </xf>
    <xf numFmtId="0" fontId="28" fillId="0" borderId="0" xfId="0" applyFont="1" applyAlignment="1">
      <alignment vertical="center"/>
    </xf>
    <xf numFmtId="0" fontId="37" fillId="0" borderId="14" xfId="0" applyFont="1" applyFill="1" applyBorder="1" applyAlignment="1">
      <alignment horizontal="center" vertical="center" wrapText="1"/>
    </xf>
    <xf numFmtId="0" fontId="37" fillId="0" borderId="19" xfId="0" applyFont="1" applyFill="1" applyBorder="1" applyAlignment="1">
      <alignment horizontal="center" vertical="center" wrapText="1"/>
    </xf>
    <xf numFmtId="2" fontId="2" fillId="0" borderId="0" xfId="0" applyNumberFormat="1" applyFont="1"/>
    <xf numFmtId="0" fontId="37" fillId="0" borderId="17" xfId="0" applyFont="1" applyFill="1" applyBorder="1" applyAlignment="1">
      <alignment wrapText="1"/>
    </xf>
    <xf numFmtId="0" fontId="37" fillId="0" borderId="17" xfId="0" applyFont="1" applyFill="1" applyBorder="1"/>
    <xf numFmtId="0" fontId="37" fillId="0" borderId="20" xfId="0" applyFont="1" applyFill="1" applyBorder="1"/>
    <xf numFmtId="0" fontId="37" fillId="38" borderId="0" xfId="4" applyFont="1" applyFill="1" applyBorder="1" applyAlignment="1">
      <alignment horizontal="center" vertical="center" wrapText="1"/>
    </xf>
    <xf numFmtId="0" fontId="37" fillId="38" borderId="0" xfId="4" applyFont="1" applyFill="1" applyBorder="1" applyAlignment="1">
      <alignment horizontal="center" vertical="center"/>
    </xf>
    <xf numFmtId="0" fontId="19" fillId="6" borderId="27" xfId="0" applyFont="1" applyFill="1" applyBorder="1" applyAlignment="1">
      <alignment horizontal="center" vertical="center"/>
    </xf>
    <xf numFmtId="0" fontId="19" fillId="6" borderId="2" xfId="0" applyFont="1" applyFill="1" applyBorder="1" applyAlignment="1">
      <alignment horizontal="center" vertical="center"/>
    </xf>
    <xf numFmtId="0" fontId="37" fillId="0" borderId="16" xfId="0" applyFont="1" applyBorder="1" applyAlignment="1">
      <alignment horizontal="center" vertical="center"/>
    </xf>
    <xf numFmtId="0" fontId="37" fillId="0" borderId="12" xfId="0" applyFont="1" applyBorder="1" applyAlignment="1">
      <alignment horizontal="center" vertical="center"/>
    </xf>
    <xf numFmtId="0" fontId="37" fillId="35" borderId="12" xfId="0" applyFont="1" applyFill="1" applyBorder="1" applyAlignment="1">
      <alignment horizontal="center" vertical="center"/>
    </xf>
    <xf numFmtId="0" fontId="37" fillId="0" borderId="12" xfId="0" applyFont="1" applyFill="1" applyBorder="1" applyAlignment="1">
      <alignment horizontal="center" vertical="center"/>
    </xf>
    <xf numFmtId="0" fontId="37" fillId="35" borderId="17" xfId="0" applyFont="1" applyFill="1" applyBorder="1" applyAlignment="1">
      <alignment horizontal="center" vertical="center"/>
    </xf>
    <xf numFmtId="0" fontId="37" fillId="0" borderId="0" xfId="0" applyFont="1"/>
    <xf numFmtId="0" fontId="2" fillId="0" borderId="16" xfId="0" applyFont="1" applyFill="1" applyBorder="1" applyAlignment="1">
      <alignment horizontal="center" vertical="center"/>
    </xf>
    <xf numFmtId="0" fontId="37" fillId="0" borderId="12" xfId="0" applyFont="1" applyBorder="1" applyAlignment="1">
      <alignment horizontal="center" vertical="center" shrinkToFit="1"/>
    </xf>
    <xf numFmtId="0" fontId="37" fillId="6" borderId="12" xfId="0" applyFont="1" applyFill="1" applyBorder="1" applyAlignment="1">
      <alignment horizontal="center" vertical="center" shrinkToFit="1"/>
    </xf>
    <xf numFmtId="0" fontId="37" fillId="6" borderId="17" xfId="0" applyFont="1" applyFill="1" applyBorder="1" applyAlignment="1">
      <alignment horizontal="center" vertical="center" shrinkToFit="1"/>
    </xf>
    <xf numFmtId="0" fontId="37" fillId="0" borderId="14" xfId="0" applyFont="1" applyBorder="1" applyAlignment="1">
      <alignment horizontal="center" vertical="center"/>
    </xf>
    <xf numFmtId="0" fontId="37" fillId="0" borderId="14" xfId="0" applyFont="1" applyBorder="1" applyAlignment="1">
      <alignment horizontal="center" vertical="center" shrinkToFit="1"/>
    </xf>
    <xf numFmtId="0" fontId="37" fillId="6" borderId="14" xfId="0" applyFont="1" applyFill="1" applyBorder="1" applyAlignment="1">
      <alignment horizontal="center" vertical="center" shrinkToFit="1"/>
    </xf>
    <xf numFmtId="0" fontId="37" fillId="6" borderId="15" xfId="0" applyFont="1" applyFill="1" applyBorder="1" applyAlignment="1">
      <alignment horizontal="center" vertical="center" shrinkToFit="1"/>
    </xf>
    <xf numFmtId="0" fontId="37" fillId="36" borderId="12" xfId="0" applyFont="1" applyFill="1" applyBorder="1" applyAlignment="1">
      <alignment horizontal="center" vertical="center"/>
    </xf>
    <xf numFmtId="0" fontId="37" fillId="37" borderId="17" xfId="0" applyFont="1" applyFill="1" applyBorder="1" applyAlignment="1">
      <alignment horizontal="center" vertical="center"/>
    </xf>
    <xf numFmtId="0" fontId="37" fillId="6" borderId="19" xfId="0" applyFont="1" applyFill="1" applyBorder="1" applyAlignment="1">
      <alignment horizontal="center" vertical="center" shrinkToFit="1"/>
    </xf>
    <xf numFmtId="0" fontId="37" fillId="6" borderId="20" xfId="0" applyFont="1" applyFill="1" applyBorder="1" applyAlignment="1">
      <alignment horizontal="center" vertical="center" shrinkToFit="1"/>
    </xf>
    <xf numFmtId="0" fontId="37" fillId="0" borderId="12" xfId="0" applyNumberFormat="1" applyFont="1" applyBorder="1" applyAlignment="1">
      <alignment horizontal="center" vertical="center"/>
    </xf>
    <xf numFmtId="0" fontId="37" fillId="35" borderId="19" xfId="0" applyFont="1" applyFill="1" applyBorder="1" applyAlignment="1">
      <alignment horizontal="center" vertical="center"/>
    </xf>
    <xf numFmtId="0" fontId="37" fillId="35" borderId="20" xfId="0" applyFont="1" applyFill="1" applyBorder="1" applyAlignment="1">
      <alignment horizontal="center" vertical="center"/>
    </xf>
    <xf numFmtId="0" fontId="37" fillId="0" borderId="15" xfId="0" applyFont="1" applyFill="1" applyBorder="1" applyAlignment="1">
      <alignment horizontal="left" vertical="center"/>
    </xf>
    <xf numFmtId="0" fontId="37" fillId="0" borderId="17" xfId="0" applyFont="1" applyFill="1" applyBorder="1" applyAlignment="1">
      <alignment horizontal="left" vertical="center"/>
    </xf>
    <xf numFmtId="0" fontId="37" fillId="0" borderId="17" xfId="0" applyFont="1" applyFill="1" applyBorder="1" applyAlignment="1">
      <alignment horizontal="left" vertical="center" wrapText="1"/>
    </xf>
    <xf numFmtId="0" fontId="49" fillId="0" borderId="17" xfId="0" applyFont="1" applyFill="1" applyBorder="1"/>
    <xf numFmtId="0" fontId="49" fillId="0" borderId="17" xfId="0" applyFont="1" applyFill="1" applyBorder="1" applyAlignment="1">
      <alignment vertical="center"/>
    </xf>
    <xf numFmtId="0" fontId="37" fillId="0" borderId="17" xfId="0" applyFont="1" applyFill="1" applyBorder="1" applyAlignment="1">
      <alignment vertical="center" wrapText="1"/>
    </xf>
    <xf numFmtId="0" fontId="2" fillId="0" borderId="13" xfId="0" applyFont="1" applyFill="1" applyBorder="1" applyAlignment="1">
      <alignment horizontal="center" vertical="center"/>
    </xf>
    <xf numFmtId="0" fontId="2" fillId="0" borderId="18" xfId="0" applyFont="1" applyFill="1" applyBorder="1" applyAlignment="1">
      <alignment horizontal="center" vertical="center"/>
    </xf>
    <xf numFmtId="0" fontId="37" fillId="0" borderId="14" xfId="0" applyFont="1" applyFill="1" applyBorder="1" applyAlignment="1">
      <alignment horizontal="center" vertical="center"/>
    </xf>
    <xf numFmtId="9" fontId="37" fillId="0" borderId="14" xfId="5" applyNumberFormat="1" applyFont="1" applyFill="1" applyBorder="1" applyAlignment="1">
      <alignment horizontal="center" vertical="center"/>
    </xf>
    <xf numFmtId="9" fontId="37" fillId="0" borderId="12" xfId="5" applyNumberFormat="1" applyFont="1" applyFill="1" applyBorder="1" applyAlignment="1">
      <alignment horizontal="center" vertical="center"/>
    </xf>
    <xf numFmtId="0" fontId="37" fillId="0" borderId="12" xfId="0" applyFont="1" applyFill="1" applyBorder="1" applyAlignment="1">
      <alignment horizontal="center"/>
    </xf>
    <xf numFmtId="0" fontId="37" fillId="0" borderId="19" xfId="0" applyFont="1" applyFill="1" applyBorder="1" applyAlignment="1">
      <alignment horizontal="center"/>
    </xf>
    <xf numFmtId="9" fontId="37" fillId="0" borderId="19" xfId="5" applyNumberFormat="1" applyFont="1" applyFill="1" applyBorder="1" applyAlignment="1">
      <alignment horizontal="center" vertical="center"/>
    </xf>
    <xf numFmtId="2" fontId="37" fillId="0" borderId="14" xfId="0" applyNumberFormat="1" applyFont="1" applyFill="1" applyBorder="1" applyAlignment="1">
      <alignment horizontal="center" vertical="center"/>
    </xf>
    <xf numFmtId="2" fontId="37" fillId="0" borderId="15" xfId="0" applyNumberFormat="1" applyFont="1" applyFill="1" applyBorder="1" applyAlignment="1">
      <alignment horizontal="center" vertical="center"/>
    </xf>
    <xf numFmtId="2" fontId="37" fillId="0" borderId="12" xfId="0" applyNumberFormat="1" applyFont="1" applyFill="1" applyBorder="1" applyAlignment="1">
      <alignment horizontal="center" vertical="center"/>
    </xf>
    <xf numFmtId="2" fontId="37" fillId="0" borderId="17" xfId="0" applyNumberFormat="1" applyFont="1" applyFill="1" applyBorder="1" applyAlignment="1">
      <alignment horizontal="center" vertical="center"/>
    </xf>
    <xf numFmtId="179" fontId="37" fillId="0" borderId="12" xfId="0" applyNumberFormat="1" applyFont="1" applyFill="1" applyBorder="1" applyAlignment="1">
      <alignment horizontal="center" vertical="center"/>
    </xf>
    <xf numFmtId="179" fontId="37" fillId="0" borderId="12" xfId="0" applyNumberFormat="1" applyFont="1" applyFill="1" applyBorder="1" applyAlignment="1">
      <alignment horizontal="center"/>
    </xf>
    <xf numFmtId="178" fontId="37" fillId="0" borderId="12" xfId="0" applyNumberFormat="1" applyFont="1" applyFill="1" applyBorder="1" applyAlignment="1">
      <alignment horizontal="center"/>
    </xf>
    <xf numFmtId="178" fontId="37" fillId="0" borderId="17" xfId="0" applyNumberFormat="1" applyFont="1" applyFill="1" applyBorder="1" applyAlignment="1">
      <alignment horizontal="center"/>
    </xf>
    <xf numFmtId="179" fontId="37" fillId="0" borderId="17" xfId="0" applyNumberFormat="1" applyFont="1" applyFill="1" applyBorder="1" applyAlignment="1">
      <alignment horizontal="center"/>
    </xf>
    <xf numFmtId="179" fontId="37" fillId="0" borderId="19" xfId="0" applyNumberFormat="1" applyFont="1" applyFill="1" applyBorder="1" applyAlignment="1">
      <alignment horizontal="center"/>
    </xf>
    <xf numFmtId="179" fontId="37" fillId="0" borderId="20" xfId="0" applyNumberFormat="1" applyFont="1" applyFill="1" applyBorder="1" applyAlignment="1">
      <alignment horizontal="center"/>
    </xf>
    <xf numFmtId="2" fontId="38" fillId="6" borderId="14" xfId="5" applyNumberFormat="1" applyFont="1" applyFill="1" applyBorder="1" applyAlignment="1">
      <alignment horizontal="center" vertical="center"/>
    </xf>
    <xf numFmtId="2" fontId="38" fillId="6" borderId="12" xfId="5" applyNumberFormat="1" applyFont="1" applyFill="1" applyBorder="1" applyAlignment="1">
      <alignment horizontal="center" vertical="center"/>
    </xf>
    <xf numFmtId="2" fontId="38" fillId="6" borderId="19" xfId="5" applyNumberFormat="1" applyFont="1" applyFill="1" applyBorder="1" applyAlignment="1">
      <alignment horizontal="center" vertical="center"/>
    </xf>
    <xf numFmtId="0" fontId="2" fillId="0" borderId="12" xfId="0" applyFont="1" applyFill="1" applyBorder="1" applyAlignment="1">
      <alignment horizontal="center" vertical="center" wrapText="1"/>
    </xf>
    <xf numFmtId="0" fontId="39" fillId="0" borderId="12" xfId="0" applyFont="1" applyFill="1" applyBorder="1" applyAlignment="1">
      <alignment horizontal="center" vertical="center" wrapText="1"/>
    </xf>
    <xf numFmtId="0" fontId="37" fillId="0" borderId="12" xfId="0" applyFont="1" applyFill="1" applyBorder="1" applyAlignment="1">
      <alignment horizontal="center" vertical="center" wrapText="1"/>
    </xf>
    <xf numFmtId="0" fontId="39" fillId="0" borderId="14" xfId="0" applyFont="1" applyFill="1" applyBorder="1" applyAlignment="1">
      <alignment horizontal="center" vertical="center" wrapText="1"/>
    </xf>
    <xf numFmtId="0" fontId="39" fillId="0" borderId="12" xfId="0" applyFont="1" applyFill="1" applyBorder="1" applyAlignment="1">
      <alignment horizontal="center" vertical="center" shrinkToFit="1"/>
    </xf>
    <xf numFmtId="0" fontId="39" fillId="0" borderId="19" xfId="0" applyFont="1" applyFill="1" applyBorder="1" applyAlignment="1">
      <alignment horizontal="center" vertical="center" shrinkToFit="1"/>
    </xf>
    <xf numFmtId="0" fontId="37" fillId="35" borderId="14" xfId="0" applyFont="1" applyFill="1" applyBorder="1" applyAlignment="1">
      <alignment horizontal="center" vertical="center"/>
    </xf>
    <xf numFmtId="0" fontId="37" fillId="35" borderId="15" xfId="0" applyFont="1" applyFill="1" applyBorder="1" applyAlignment="1">
      <alignment horizontal="center" vertical="center"/>
    </xf>
    <xf numFmtId="0" fontId="2" fillId="0" borderId="18" xfId="0" applyFont="1" applyBorder="1" applyAlignment="1">
      <alignment horizontal="center"/>
    </xf>
    <xf numFmtId="0" fontId="2" fillId="0" borderId="19" xfId="0" applyFont="1" applyBorder="1" applyAlignment="1">
      <alignment horizontal="center"/>
    </xf>
    <xf numFmtId="0" fontId="39" fillId="0" borderId="12" xfId="0" applyFont="1" applyFill="1" applyBorder="1" applyAlignment="1">
      <alignment vertical="center" wrapText="1"/>
    </xf>
    <xf numFmtId="0" fontId="37" fillId="0" borderId="12" xfId="0" applyFont="1" applyFill="1" applyBorder="1" applyAlignment="1">
      <alignment vertical="center" wrapText="1"/>
    </xf>
    <xf numFmtId="0" fontId="39" fillId="0" borderId="12" xfId="0" applyFont="1" applyFill="1" applyBorder="1" applyAlignment="1">
      <alignment vertical="center" shrinkToFit="1"/>
    </xf>
    <xf numFmtId="0" fontId="39" fillId="0" borderId="19" xfId="0" applyFont="1" applyFill="1" applyBorder="1" applyAlignment="1">
      <alignment vertical="center" shrinkToFit="1"/>
    </xf>
    <xf numFmtId="0" fontId="52" fillId="0" borderId="12" xfId="57" applyNumberFormat="1" applyFont="1" applyFill="1" applyBorder="1" applyAlignment="1">
      <alignment horizontal="center" vertical="center"/>
    </xf>
    <xf numFmtId="0" fontId="37" fillId="38" borderId="0" xfId="4" applyFont="1" applyFill="1" applyBorder="1" applyAlignment="1">
      <alignment horizontal="left" vertical="center"/>
    </xf>
    <xf numFmtId="49" fontId="38" fillId="39" borderId="0" xfId="4" applyNumberFormat="1" applyFont="1" applyFill="1" applyBorder="1" applyAlignment="1">
      <alignment horizontal="left" vertical="center" wrapText="1"/>
    </xf>
    <xf numFmtId="0" fontId="37" fillId="38" borderId="0" xfId="4" applyFont="1" applyFill="1" applyBorder="1" applyAlignment="1">
      <alignment horizontal="left" vertical="center" wrapText="1"/>
    </xf>
    <xf numFmtId="0" fontId="2" fillId="0" borderId="12" xfId="0" applyFont="1" applyFill="1" applyBorder="1" applyAlignment="1">
      <alignment horizontal="center" vertical="center" wrapText="1"/>
    </xf>
    <xf numFmtId="0" fontId="39" fillId="0" borderId="12" xfId="0" applyFont="1" applyFill="1" applyBorder="1" applyAlignment="1">
      <alignment horizontal="center" vertical="center" wrapText="1"/>
    </xf>
    <xf numFmtId="0" fontId="48" fillId="0" borderId="14" xfId="0" applyFont="1" applyFill="1" applyBorder="1" applyAlignment="1">
      <alignment horizontal="center" vertical="center" wrapText="1"/>
    </xf>
    <xf numFmtId="0" fontId="37" fillId="0" borderId="14" xfId="4" applyFont="1" applyFill="1" applyBorder="1" applyAlignment="1">
      <alignment horizontal="center" vertical="center"/>
    </xf>
    <xf numFmtId="10" fontId="37" fillId="0" borderId="14" xfId="4" applyNumberFormat="1" applyFont="1" applyFill="1" applyBorder="1" applyAlignment="1">
      <alignment horizontal="center" vertical="center" wrapText="1"/>
    </xf>
    <xf numFmtId="10" fontId="37" fillId="0" borderId="15" xfId="4" applyNumberFormat="1" applyFont="1" applyFill="1" applyBorder="1" applyAlignment="1">
      <alignment horizontal="center" vertical="center" wrapText="1"/>
    </xf>
    <xf numFmtId="0" fontId="48" fillId="0" borderId="12" xfId="0" applyFont="1" applyFill="1" applyBorder="1" applyAlignment="1">
      <alignment horizontal="center" vertical="center" wrapText="1"/>
    </xf>
    <xf numFmtId="0" fontId="37" fillId="0" borderId="12" xfId="4" applyFont="1" applyFill="1" applyBorder="1" applyAlignment="1">
      <alignment horizontal="center" vertical="center"/>
    </xf>
    <xf numFmtId="10" fontId="37" fillId="0" borderId="12" xfId="4" applyNumberFormat="1" applyFont="1" applyFill="1" applyBorder="1" applyAlignment="1">
      <alignment horizontal="center" vertical="center" wrapText="1"/>
    </xf>
    <xf numFmtId="10" fontId="37" fillId="0" borderId="17" xfId="4" applyNumberFormat="1" applyFont="1" applyFill="1" applyBorder="1" applyAlignment="1">
      <alignment horizontal="center" vertical="center" wrapText="1"/>
    </xf>
    <xf numFmtId="0" fontId="48" fillId="0" borderId="19" xfId="0" applyFont="1" applyFill="1" applyBorder="1" applyAlignment="1">
      <alignment horizontal="center" vertical="center" wrapText="1"/>
    </xf>
    <xf numFmtId="0" fontId="37" fillId="0" borderId="19" xfId="4" applyFont="1" applyFill="1" applyBorder="1" applyAlignment="1">
      <alignment horizontal="center" vertical="center"/>
    </xf>
    <xf numFmtId="10" fontId="37" fillId="0" borderId="19" xfId="4" applyNumberFormat="1" applyFont="1" applyFill="1" applyBorder="1" applyAlignment="1">
      <alignment horizontal="center" vertical="center" wrapText="1"/>
    </xf>
    <xf numFmtId="0" fontId="52" fillId="0" borderId="14" xfId="57" applyNumberFormat="1" applyFont="1" applyFill="1" applyBorder="1" applyAlignment="1">
      <alignment horizontal="center" vertical="center"/>
    </xf>
    <xf numFmtId="0" fontId="52" fillId="0" borderId="19" xfId="57" applyNumberFormat="1" applyFont="1" applyFill="1" applyBorder="1" applyAlignment="1">
      <alignment horizontal="center" vertical="center"/>
    </xf>
    <xf numFmtId="176" fontId="37" fillId="0" borderId="19" xfId="0" applyNumberFormat="1" applyFont="1" applyFill="1" applyBorder="1" applyAlignment="1">
      <alignment horizontal="center" vertical="center"/>
    </xf>
    <xf numFmtId="177" fontId="37" fillId="0" borderId="19" xfId="0" applyNumberFormat="1" applyFont="1" applyFill="1" applyBorder="1" applyAlignment="1">
      <alignment horizontal="center" vertical="center"/>
    </xf>
    <xf numFmtId="176" fontId="37" fillId="0" borderId="20" xfId="0" applyNumberFormat="1" applyFont="1" applyFill="1" applyBorder="1" applyAlignment="1">
      <alignment horizontal="center" vertical="center"/>
    </xf>
    <xf numFmtId="10" fontId="37" fillId="0" borderId="20" xfId="4" applyNumberFormat="1" applyFont="1" applyFill="1" applyBorder="1" applyAlignment="1">
      <alignment horizontal="center" vertical="center" wrapText="1"/>
    </xf>
    <xf numFmtId="0" fontId="45" fillId="0" borderId="0" xfId="0" applyFont="1" applyFill="1"/>
    <xf numFmtId="0" fontId="45" fillId="0" borderId="14" xfId="0" applyFont="1" applyFill="1" applyBorder="1"/>
    <xf numFmtId="0" fontId="45" fillId="0" borderId="25" xfId="0" applyFont="1" applyFill="1" applyBorder="1" applyAlignment="1">
      <alignment horizontal="center" vertical="center"/>
    </xf>
    <xf numFmtId="0" fontId="45" fillId="0" borderId="0" xfId="0" applyFont="1" applyFill="1" applyBorder="1"/>
    <xf numFmtId="0" fontId="2" fillId="0" borderId="0" xfId="0" applyFont="1" applyFill="1" applyAlignment="1">
      <alignment horizontal="left" shrinkToFit="1"/>
    </xf>
    <xf numFmtId="0" fontId="45" fillId="0" borderId="0" xfId="0" applyFont="1" applyFill="1" applyBorder="1" applyAlignment="1">
      <alignment horizontal="left" shrinkToFit="1"/>
    </xf>
    <xf numFmtId="0" fontId="2" fillId="0" borderId="14" xfId="0" applyFont="1" applyFill="1" applyBorder="1"/>
    <xf numFmtId="0" fontId="2" fillId="0" borderId="38" xfId="0" applyFont="1" applyFill="1" applyBorder="1"/>
    <xf numFmtId="0" fontId="45" fillId="0" borderId="15" xfId="0" applyFont="1" applyFill="1" applyBorder="1" applyAlignment="1">
      <alignment horizontal="left"/>
    </xf>
    <xf numFmtId="0" fontId="45" fillId="0" borderId="39" xfId="0" applyFont="1" applyFill="1" applyBorder="1" applyAlignment="1">
      <alignment horizontal="center" vertical="center"/>
    </xf>
    <xf numFmtId="0" fontId="45" fillId="0" borderId="33" xfId="0" applyFont="1" applyFill="1" applyBorder="1" applyAlignment="1">
      <alignment horizontal="left" vertical="center"/>
    </xf>
    <xf numFmtId="0" fontId="0" fillId="0" borderId="12" xfId="0" applyBorder="1"/>
    <xf numFmtId="0" fontId="0" fillId="0" borderId="12" xfId="0" applyFill="1" applyBorder="1"/>
    <xf numFmtId="0" fontId="0" fillId="0" borderId="14" xfId="0" applyBorder="1"/>
    <xf numFmtId="0" fontId="0" fillId="0" borderId="14" xfId="0" applyFill="1" applyBorder="1"/>
    <xf numFmtId="0" fontId="0" fillId="0" borderId="15" xfId="0" applyFill="1" applyBorder="1"/>
    <xf numFmtId="0" fontId="0" fillId="0" borderId="17" xfId="0" applyFill="1" applyBorder="1"/>
    <xf numFmtId="0" fontId="0" fillId="0" borderId="19" xfId="0" applyBorder="1"/>
    <xf numFmtId="0" fontId="0" fillId="0" borderId="19" xfId="0" applyFill="1" applyBorder="1"/>
    <xf numFmtId="0" fontId="0" fillId="0" borderId="20" xfId="0" applyFill="1" applyBorder="1"/>
    <xf numFmtId="0" fontId="2" fillId="0" borderId="12" xfId="0" applyFont="1" applyFill="1" applyBorder="1" applyAlignment="1">
      <alignment horizontal="center" vertical="center" wrapText="1"/>
    </xf>
    <xf numFmtId="0" fontId="39" fillId="0" borderId="12" xfId="0" applyFont="1" applyFill="1" applyBorder="1" applyAlignment="1">
      <alignment horizontal="center" vertical="center" wrapText="1"/>
    </xf>
    <xf numFmtId="0" fontId="39" fillId="0" borderId="19" xfId="0" applyFont="1" applyFill="1" applyBorder="1" applyAlignment="1">
      <alignment horizontal="center" vertical="center" wrapText="1"/>
    </xf>
    <xf numFmtId="0" fontId="43" fillId="0" borderId="0" xfId="1" applyFont="1" applyAlignment="1">
      <alignment horizontal="left" vertical="center"/>
    </xf>
    <xf numFmtId="0" fontId="34" fillId="0" borderId="0" xfId="0" applyFont="1" applyBorder="1" applyAlignment="1">
      <alignment horizontal="left" vertical="center"/>
    </xf>
    <xf numFmtId="0" fontId="2" fillId="0" borderId="14" xfId="0" applyFont="1" applyFill="1" applyBorder="1" applyAlignment="1">
      <alignment horizontal="center" vertical="center" wrapText="1"/>
    </xf>
    <xf numFmtId="0" fontId="19" fillId="6" borderId="27" xfId="0" applyFont="1" applyFill="1" applyBorder="1" applyAlignment="1">
      <alignment horizontal="center" vertical="center"/>
    </xf>
    <xf numFmtId="0" fontId="19" fillId="6" borderId="28" xfId="0" applyFont="1" applyFill="1" applyBorder="1" applyAlignment="1">
      <alignment horizontal="center" vertical="center"/>
    </xf>
    <xf numFmtId="0" fontId="32" fillId="0" borderId="0" xfId="0" applyFont="1" applyBorder="1" applyAlignment="1">
      <alignment horizontal="left" vertical="center"/>
    </xf>
    <xf numFmtId="0" fontId="19" fillId="6" borderId="26" xfId="0" applyFont="1" applyFill="1" applyBorder="1" applyAlignment="1">
      <alignment horizontal="center" vertical="center"/>
    </xf>
    <xf numFmtId="0" fontId="19" fillId="6" borderId="29" xfId="0" applyFont="1" applyFill="1" applyBorder="1" applyAlignment="1">
      <alignment horizontal="center" vertical="center"/>
    </xf>
    <xf numFmtId="0" fontId="19" fillId="6" borderId="2" xfId="0" applyFont="1" applyFill="1" applyBorder="1" applyAlignment="1">
      <alignment horizontal="center" vertical="center"/>
    </xf>
    <xf numFmtId="0" fontId="32" fillId="0" borderId="0" xfId="0" applyFont="1" applyBorder="1" applyAlignment="1">
      <alignment vertical="center"/>
    </xf>
    <xf numFmtId="0" fontId="40" fillId="0" borderId="0" xfId="0" applyFont="1" applyBorder="1" applyAlignment="1">
      <alignment horizontal="left" vertical="center"/>
    </xf>
    <xf numFmtId="0" fontId="29" fillId="0" borderId="0" xfId="0" applyFont="1" applyFill="1" applyBorder="1" applyAlignment="1">
      <alignment horizontal="left" vertical="center"/>
    </xf>
    <xf numFmtId="0" fontId="39" fillId="0" borderId="12" xfId="0" applyFont="1" applyBorder="1" applyAlignment="1">
      <alignment horizontal="center" vertical="center" wrapText="1"/>
    </xf>
    <xf numFmtId="0" fontId="39" fillId="0" borderId="19" xfId="0" applyFont="1" applyBorder="1" applyAlignment="1">
      <alignment horizontal="center" vertical="center" wrapText="1"/>
    </xf>
    <xf numFmtId="0" fontId="37" fillId="0" borderId="12" xfId="0" applyFont="1" applyFill="1" applyBorder="1" applyAlignment="1">
      <alignment horizontal="center" vertical="center" shrinkToFit="1"/>
    </xf>
    <xf numFmtId="0" fontId="37" fillId="0" borderId="19" xfId="0" applyFont="1" applyFill="1" applyBorder="1" applyAlignment="1">
      <alignment horizontal="center" vertical="center" shrinkToFit="1"/>
    </xf>
    <xf numFmtId="0" fontId="37" fillId="0" borderId="12" xfId="0" applyFont="1" applyFill="1" applyBorder="1" applyAlignment="1">
      <alignment horizontal="center" vertical="center" wrapText="1"/>
    </xf>
    <xf numFmtId="0" fontId="37" fillId="0" borderId="14" xfId="0" applyFont="1" applyFill="1" applyBorder="1" applyAlignment="1">
      <alignment horizontal="center" vertical="center" wrapText="1"/>
    </xf>
    <xf numFmtId="0" fontId="37" fillId="38" borderId="0" xfId="4" applyFont="1" applyFill="1" applyBorder="1" applyAlignment="1">
      <alignment horizontal="center" vertical="center" wrapText="1"/>
    </xf>
    <xf numFmtId="0" fontId="44" fillId="38" borderId="0" xfId="4" applyFont="1" applyFill="1" applyAlignment="1">
      <alignment horizontal="left" vertical="center"/>
    </xf>
    <xf numFmtId="0" fontId="37" fillId="38" borderId="0" xfId="4" applyFont="1" applyFill="1" applyBorder="1" applyAlignment="1">
      <alignment horizontal="center" vertical="center"/>
    </xf>
    <xf numFmtId="0" fontId="30" fillId="0" borderId="0" xfId="0" applyFont="1" applyAlignment="1">
      <alignment horizontal="left" vertical="center"/>
    </xf>
    <xf numFmtId="0" fontId="39" fillId="0" borderId="14" xfId="0" applyFont="1" applyBorder="1" applyAlignment="1">
      <alignment horizontal="center" vertical="center" wrapText="1"/>
    </xf>
    <xf numFmtId="0" fontId="37" fillId="0" borderId="12" xfId="0" applyFont="1" applyBorder="1" applyAlignment="1">
      <alignment horizontal="center" vertical="center" wrapText="1"/>
    </xf>
  </cellXfs>
  <cellStyles count="58">
    <cellStyle name="20% - 강조색1" xfId="29" builtinId="30" customBuiltin="1"/>
    <cellStyle name="20% - 강조색2" xfId="33" builtinId="34" customBuiltin="1"/>
    <cellStyle name="20% - 강조색3" xfId="37" builtinId="38" customBuiltin="1"/>
    <cellStyle name="20% - 강조색4" xfId="41" builtinId="42" customBuiltin="1"/>
    <cellStyle name="20% - 강조색5" xfId="45" builtinId="46" customBuiltin="1"/>
    <cellStyle name="20% - 강조색6" xfId="49" builtinId="50" customBuiltin="1"/>
    <cellStyle name="40% - 강조색1" xfId="30" builtinId="31" customBuiltin="1"/>
    <cellStyle name="40% - 강조색2" xfId="34" builtinId="35" customBuiltin="1"/>
    <cellStyle name="40% - 강조색3" xfId="38" builtinId="39" customBuiltin="1"/>
    <cellStyle name="40% - 강조색4" xfId="42" builtinId="43" customBuiltin="1"/>
    <cellStyle name="40% - 강조색5" xfId="46" builtinId="47" customBuiltin="1"/>
    <cellStyle name="40% - 강조색6" xfId="50" builtinId="51" customBuiltin="1"/>
    <cellStyle name="60% - 강조색1" xfId="31" builtinId="32" customBuiltin="1"/>
    <cellStyle name="60% - 강조색2" xfId="35" builtinId="36" customBuiltin="1"/>
    <cellStyle name="60% - 강조색3" xfId="39" builtinId="40" customBuiltin="1"/>
    <cellStyle name="60% - 강조색4" xfId="43" builtinId="44" customBuiltin="1"/>
    <cellStyle name="60% - 강조색5" xfId="47" builtinId="48" customBuiltin="1"/>
    <cellStyle name="60% - 강조색6" xfId="51" builtinId="52" customBuiltin="1"/>
    <cellStyle name="강조색1" xfId="28" builtinId="29" customBuiltin="1"/>
    <cellStyle name="강조색2" xfId="32" builtinId="33" customBuiltin="1"/>
    <cellStyle name="강조색3" xfId="36" builtinId="37" customBuiltin="1"/>
    <cellStyle name="강조색4" xfId="40" builtinId="41" customBuiltin="1"/>
    <cellStyle name="강조색5" xfId="44" builtinId="45" customBuiltin="1"/>
    <cellStyle name="강조색6" xfId="48" builtinId="49" customBuiltin="1"/>
    <cellStyle name="경고문" xfId="25" builtinId="11" customBuiltin="1"/>
    <cellStyle name="계산" xfId="22" builtinId="22" customBuiltin="1"/>
    <cellStyle name="나쁨" xfId="7" builtinId="27" customBuiltin="1"/>
    <cellStyle name="나쁨 2" xfId="10"/>
    <cellStyle name="메모 2" xfId="53"/>
    <cellStyle name="백분율" xfId="5" builtinId="5"/>
    <cellStyle name="백분율 2" xfId="2"/>
    <cellStyle name="보통" xfId="19" builtinId="28" customBuiltin="1"/>
    <cellStyle name="설명 텍스트" xfId="26" builtinId="53" customBuiltin="1"/>
    <cellStyle name="셀 확인" xfId="24" builtinId="23" customBuiltin="1"/>
    <cellStyle name="쉼표 [0]" xfId="9" builtinId="6"/>
    <cellStyle name="쉼표 [0] 2" xfId="13"/>
    <cellStyle name="쉼표 [0] 2 10 2 2 2 2 2 2" xfId="57"/>
    <cellStyle name="연결된 셀" xfId="23" builtinId="24" customBuiltin="1"/>
    <cellStyle name="열어 본 하이퍼링크" xfId="55" builtinId="9" hidden="1"/>
    <cellStyle name="요약" xfId="27" builtinId="25" customBuiltin="1"/>
    <cellStyle name="입력" xfId="20" builtinId="20" customBuiltin="1"/>
    <cellStyle name="제목" xfId="14" builtinId="15" customBuiltin="1"/>
    <cellStyle name="제목 1" xfId="15" builtinId="16" customBuiltin="1"/>
    <cellStyle name="제목 2" xfId="16" builtinId="17" customBuiltin="1"/>
    <cellStyle name="제목 3" xfId="17" builtinId="18" customBuiltin="1"/>
    <cellStyle name="제목 4" xfId="18" builtinId="19" customBuiltin="1"/>
    <cellStyle name="좋음" xfId="6" builtinId="26" customBuiltin="1"/>
    <cellStyle name="좋음 2" xfId="11"/>
    <cellStyle name="출력" xfId="21" builtinId="21" customBuiltin="1"/>
    <cellStyle name="표준" xfId="0" builtinId="0"/>
    <cellStyle name="표준 2" xfId="1"/>
    <cellStyle name="표준 2 2" xfId="4"/>
    <cellStyle name="표준 3" xfId="3"/>
    <cellStyle name="표준 3 2" xfId="12"/>
    <cellStyle name="표준 4" xfId="8"/>
    <cellStyle name="표준 5" xfId="52"/>
    <cellStyle name="표준 6" xfId="56"/>
    <cellStyle name="하이퍼링크" xfId="54" builtinId="8" hidden="1"/>
  </cellStyles>
  <dxfs count="0"/>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Z40"/>
  <sheetViews>
    <sheetView zoomScaleNormal="100" workbookViewId="0">
      <selection activeCell="D12" sqref="D12"/>
    </sheetView>
  </sheetViews>
  <sheetFormatPr defaultRowHeight="16.5"/>
  <cols>
    <col min="1" max="1" width="3.625" style="10" customWidth="1"/>
    <col min="2" max="2" width="4" style="30" customWidth="1"/>
    <col min="3" max="3" width="10.5" style="31" customWidth="1"/>
    <col min="4" max="4" width="38.375" style="10" bestFit="1" customWidth="1"/>
    <col min="5" max="17" width="12" style="10" customWidth="1"/>
    <col min="18" max="20" width="9.625" style="10" customWidth="1"/>
    <col min="21" max="31" width="7.25" style="10" customWidth="1"/>
    <col min="32" max="16384" width="9" style="10"/>
  </cols>
  <sheetData>
    <row r="1" spans="1:26" ht="45" customHeight="1">
      <c r="B1" s="240" t="s">
        <v>462</v>
      </c>
      <c r="C1" s="240"/>
      <c r="D1" s="240"/>
      <c r="E1" s="240"/>
      <c r="F1" s="240"/>
      <c r="G1" s="240"/>
      <c r="H1" s="240"/>
      <c r="I1" s="240"/>
      <c r="J1" s="240"/>
      <c r="K1" s="240"/>
      <c r="L1" s="240"/>
      <c r="M1" s="240"/>
      <c r="N1" s="17"/>
    </row>
    <row r="2" spans="1:26" ht="30" customHeight="1" thickBot="1">
      <c r="B2" s="241" t="s">
        <v>77</v>
      </c>
      <c r="C2" s="241"/>
      <c r="D2" s="241"/>
      <c r="E2" s="241"/>
      <c r="F2" s="241"/>
      <c r="G2" s="241"/>
      <c r="V2" s="18"/>
      <c r="W2" s="19"/>
      <c r="X2" s="19"/>
      <c r="Y2" s="16"/>
      <c r="Z2" s="20"/>
    </row>
    <row r="3" spans="1:26" ht="24.75" customHeight="1">
      <c r="B3" s="4" t="s">
        <v>33</v>
      </c>
      <c r="C3" s="5" t="s">
        <v>65</v>
      </c>
      <c r="D3" s="5" t="s">
        <v>34</v>
      </c>
      <c r="E3" s="5" t="s">
        <v>2</v>
      </c>
      <c r="F3" s="5" t="s">
        <v>3</v>
      </c>
      <c r="G3" s="21" t="s">
        <v>0</v>
      </c>
      <c r="H3" s="5" t="s">
        <v>68</v>
      </c>
      <c r="I3" s="22" t="s">
        <v>84</v>
      </c>
      <c r="J3" s="22" t="s">
        <v>85</v>
      </c>
      <c r="K3" s="22" t="s">
        <v>86</v>
      </c>
      <c r="L3" s="22" t="s">
        <v>87</v>
      </c>
      <c r="M3" s="22" t="s">
        <v>80</v>
      </c>
      <c r="N3" s="22" t="s">
        <v>88</v>
      </c>
      <c r="O3" s="22" t="s">
        <v>81</v>
      </c>
      <c r="P3" s="22" t="s">
        <v>82</v>
      </c>
      <c r="Q3" s="23" t="s">
        <v>83</v>
      </c>
    </row>
    <row r="4" spans="1:26" ht="16.5" customHeight="1" thickBot="1">
      <c r="B4" s="24"/>
      <c r="C4" s="25"/>
      <c r="D4" s="9" t="s">
        <v>67</v>
      </c>
      <c r="E4" s="26">
        <f>SUM(E5:E20)</f>
        <v>266</v>
      </c>
      <c r="F4" s="26">
        <f>SUM(F5:F20)</f>
        <v>201</v>
      </c>
      <c r="G4" s="27">
        <f t="shared" ref="G4:Q4" si="0">AVERAGE(G5:G20)</f>
        <v>0.77791772840685891</v>
      </c>
      <c r="H4" s="28" t="e">
        <f t="shared" si="0"/>
        <v>#DIV/0!</v>
      </c>
      <c r="I4" s="28">
        <f t="shared" si="0"/>
        <v>4.7564285714285717</v>
      </c>
      <c r="J4" s="28">
        <f t="shared" si="0"/>
        <v>4.6964285714285712</v>
      </c>
      <c r="K4" s="28">
        <f t="shared" si="0"/>
        <v>4.6928571428571439</v>
      </c>
      <c r="L4" s="28">
        <f t="shared" si="0"/>
        <v>4.3807142857142853</v>
      </c>
      <c r="M4" s="28">
        <f t="shared" si="0"/>
        <v>4.5407142857142855</v>
      </c>
      <c r="N4" s="28">
        <f t="shared" si="0"/>
        <v>4.660000000000001</v>
      </c>
      <c r="O4" s="28">
        <f t="shared" si="0"/>
        <v>4.5378571428571428</v>
      </c>
      <c r="P4" s="28">
        <f t="shared" si="0"/>
        <v>4.3685714285714292</v>
      </c>
      <c r="Q4" s="33">
        <f t="shared" si="0"/>
        <v>4.536428571428571</v>
      </c>
    </row>
    <row r="5" spans="1:26" ht="18.75" customHeight="1">
      <c r="B5" s="158">
        <v>1</v>
      </c>
      <c r="C5" s="242" t="s">
        <v>69</v>
      </c>
      <c r="D5" s="183" t="s">
        <v>132</v>
      </c>
      <c r="E5" s="121">
        <v>12</v>
      </c>
      <c r="F5" s="160">
        <v>5</v>
      </c>
      <c r="G5" s="161">
        <f t="shared" ref="G5:G18" si="1">F5/E5</f>
        <v>0.41666666666666669</v>
      </c>
      <c r="H5" s="177">
        <f>AVERAGE(I5:Q5)</f>
        <v>4.4788888888888891</v>
      </c>
      <c r="I5" s="166">
        <v>4.7699999999999996</v>
      </c>
      <c r="J5" s="166">
        <v>4.8499999999999996</v>
      </c>
      <c r="K5" s="166">
        <v>4.7699999999999996</v>
      </c>
      <c r="L5" s="166">
        <v>3.77</v>
      </c>
      <c r="M5" s="166">
        <v>4.46</v>
      </c>
      <c r="N5" s="166">
        <v>4.62</v>
      </c>
      <c r="O5" s="166">
        <v>4.54</v>
      </c>
      <c r="P5" s="166">
        <v>4.1500000000000004</v>
      </c>
      <c r="Q5" s="167">
        <v>4.38</v>
      </c>
    </row>
    <row r="6" spans="1:26" ht="18.75" customHeight="1">
      <c r="B6" s="137">
        <v>2</v>
      </c>
      <c r="C6" s="237"/>
      <c r="D6" s="181" t="s">
        <v>134</v>
      </c>
      <c r="E6" s="182">
        <v>6</v>
      </c>
      <c r="F6" s="134">
        <v>6</v>
      </c>
      <c r="G6" s="162">
        <f t="shared" si="1"/>
        <v>1</v>
      </c>
      <c r="H6" s="178">
        <f>AVERAGE(I6:Q6)</f>
        <v>4.7222222222222223</v>
      </c>
      <c r="I6" s="168">
        <v>5</v>
      </c>
      <c r="J6" s="168">
        <v>4.83</v>
      </c>
      <c r="K6" s="168">
        <v>4.67</v>
      </c>
      <c r="L6" s="168">
        <v>4.5</v>
      </c>
      <c r="M6" s="168">
        <v>4.67</v>
      </c>
      <c r="N6" s="168">
        <v>4.67</v>
      </c>
      <c r="O6" s="168">
        <v>4.83</v>
      </c>
      <c r="P6" s="168">
        <v>4.5</v>
      </c>
      <c r="Q6" s="169">
        <v>4.83</v>
      </c>
    </row>
    <row r="7" spans="1:26" ht="18.75" customHeight="1">
      <c r="B7" s="137">
        <v>3</v>
      </c>
      <c r="C7" s="237" t="s">
        <v>70</v>
      </c>
      <c r="D7" s="181" t="s">
        <v>465</v>
      </c>
      <c r="E7" s="182">
        <v>12</v>
      </c>
      <c r="F7" s="134">
        <v>12</v>
      </c>
      <c r="G7" s="162">
        <f t="shared" si="1"/>
        <v>1</v>
      </c>
      <c r="H7" s="178">
        <f t="shared" ref="H7:H20" si="2">AVERAGE(I7:Q7)</f>
        <v>4.4966666666666661</v>
      </c>
      <c r="I7" s="170">
        <v>4.6399999999999997</v>
      </c>
      <c r="J7" s="168">
        <v>4.6399999999999997</v>
      </c>
      <c r="K7" s="168">
        <v>4.55</v>
      </c>
      <c r="L7" s="168">
        <v>4.2699999999999996</v>
      </c>
      <c r="M7" s="168">
        <v>4.55</v>
      </c>
      <c r="N7" s="168">
        <v>4.6399999999999997</v>
      </c>
      <c r="O7" s="168">
        <v>4.6399999999999997</v>
      </c>
      <c r="P7" s="168">
        <v>4.09</v>
      </c>
      <c r="Q7" s="169">
        <v>4.45</v>
      </c>
    </row>
    <row r="8" spans="1:26" s="29" customFormat="1" ht="18.75" customHeight="1">
      <c r="B8" s="137">
        <v>4</v>
      </c>
      <c r="C8" s="237"/>
      <c r="D8" s="181" t="s">
        <v>250</v>
      </c>
      <c r="E8" s="182">
        <v>15</v>
      </c>
      <c r="F8" s="134">
        <v>15</v>
      </c>
      <c r="G8" s="162">
        <f t="shared" si="1"/>
        <v>1</v>
      </c>
      <c r="H8" s="178">
        <f t="shared" si="2"/>
        <v>4.2644444444444449</v>
      </c>
      <c r="I8" s="170">
        <v>4.38</v>
      </c>
      <c r="J8" s="168">
        <v>4.54</v>
      </c>
      <c r="K8" s="168">
        <v>4.38</v>
      </c>
      <c r="L8" s="168">
        <v>4.2300000000000004</v>
      </c>
      <c r="M8" s="168">
        <v>4</v>
      </c>
      <c r="N8" s="168">
        <v>4.3099999999999996</v>
      </c>
      <c r="O8" s="168">
        <v>4.08</v>
      </c>
      <c r="P8" s="168">
        <v>4.08</v>
      </c>
      <c r="Q8" s="169">
        <v>4.38</v>
      </c>
    </row>
    <row r="9" spans="1:26" ht="18.75" customHeight="1">
      <c r="B9" s="137">
        <v>5</v>
      </c>
      <c r="C9" s="237"/>
      <c r="D9" s="181" t="s">
        <v>138</v>
      </c>
      <c r="E9" s="182">
        <v>15</v>
      </c>
      <c r="F9" s="134">
        <v>10</v>
      </c>
      <c r="G9" s="162">
        <f t="shared" si="1"/>
        <v>0.66666666666666663</v>
      </c>
      <c r="H9" s="178">
        <f t="shared" si="2"/>
        <v>4.9911111111111115</v>
      </c>
      <c r="I9" s="170">
        <v>5</v>
      </c>
      <c r="J9" s="168">
        <v>5</v>
      </c>
      <c r="K9" s="168">
        <v>5</v>
      </c>
      <c r="L9" s="168">
        <v>5</v>
      </c>
      <c r="M9" s="168">
        <v>5</v>
      </c>
      <c r="N9" s="168">
        <v>5</v>
      </c>
      <c r="O9" s="168">
        <v>5</v>
      </c>
      <c r="P9" s="168">
        <v>5</v>
      </c>
      <c r="Q9" s="169">
        <v>4.92</v>
      </c>
    </row>
    <row r="10" spans="1:26" ht="18.75" customHeight="1">
      <c r="A10" s="15"/>
      <c r="B10" s="137">
        <v>6</v>
      </c>
      <c r="C10" s="237" t="s">
        <v>135</v>
      </c>
      <c r="D10" s="181" t="s">
        <v>139</v>
      </c>
      <c r="E10" s="182">
        <v>39</v>
      </c>
      <c r="F10" s="134">
        <v>22</v>
      </c>
      <c r="G10" s="162">
        <f t="shared" si="1"/>
        <v>0.5641025641025641</v>
      </c>
      <c r="H10" s="178">
        <f t="shared" si="2"/>
        <v>4.7699999999999996</v>
      </c>
      <c r="I10" s="170">
        <v>5</v>
      </c>
      <c r="J10" s="168">
        <v>4.87</v>
      </c>
      <c r="K10" s="168">
        <v>4.93</v>
      </c>
      <c r="L10" s="168">
        <v>4</v>
      </c>
      <c r="M10" s="168">
        <v>4.8</v>
      </c>
      <c r="N10" s="168">
        <v>5</v>
      </c>
      <c r="O10" s="168">
        <v>4.93</v>
      </c>
      <c r="P10" s="168">
        <v>4.53</v>
      </c>
      <c r="Q10" s="169">
        <v>4.87</v>
      </c>
    </row>
    <row r="11" spans="1:26" ht="18.75" customHeight="1">
      <c r="A11" s="15"/>
      <c r="B11" s="137">
        <v>7</v>
      </c>
      <c r="C11" s="237"/>
      <c r="D11" s="181" t="s">
        <v>466</v>
      </c>
      <c r="E11" s="182">
        <v>12</v>
      </c>
      <c r="F11" s="134">
        <v>9</v>
      </c>
      <c r="G11" s="162">
        <f t="shared" si="1"/>
        <v>0.75</v>
      </c>
      <c r="H11" s="178">
        <f t="shared" si="2"/>
        <v>4.4933333333333341</v>
      </c>
      <c r="I11" s="170">
        <v>4.76</v>
      </c>
      <c r="J11" s="168">
        <v>4.5999999999999996</v>
      </c>
      <c r="K11" s="168">
        <v>4.6399999999999997</v>
      </c>
      <c r="L11" s="168">
        <v>4.4400000000000004</v>
      </c>
      <c r="M11" s="168">
        <v>4.4000000000000004</v>
      </c>
      <c r="N11" s="168">
        <v>4.4800000000000004</v>
      </c>
      <c r="O11" s="168">
        <v>4.4400000000000004</v>
      </c>
      <c r="P11" s="168">
        <v>4.28</v>
      </c>
      <c r="Q11" s="169">
        <v>4.4000000000000004</v>
      </c>
    </row>
    <row r="12" spans="1:26" ht="18.75" customHeight="1">
      <c r="A12" s="15"/>
      <c r="B12" s="137">
        <v>8</v>
      </c>
      <c r="C12" s="237"/>
      <c r="D12" s="181" t="s">
        <v>467</v>
      </c>
      <c r="E12" s="182">
        <v>15</v>
      </c>
      <c r="F12" s="134">
        <v>12</v>
      </c>
      <c r="G12" s="162">
        <f t="shared" si="1"/>
        <v>0.8</v>
      </c>
      <c r="H12" s="178">
        <f t="shared" si="2"/>
        <v>4.6655555555555548</v>
      </c>
      <c r="I12" s="170">
        <v>4.83</v>
      </c>
      <c r="J12" s="168">
        <v>4.83</v>
      </c>
      <c r="K12" s="168">
        <v>4.8899999999999997</v>
      </c>
      <c r="L12" s="168">
        <v>4.6100000000000003</v>
      </c>
      <c r="M12" s="168">
        <v>4.72</v>
      </c>
      <c r="N12" s="168">
        <v>4.72</v>
      </c>
      <c r="O12" s="168">
        <v>4.5</v>
      </c>
      <c r="P12" s="168">
        <v>4.5</v>
      </c>
      <c r="Q12" s="169">
        <v>4.3899999999999997</v>
      </c>
    </row>
    <row r="13" spans="1:26" ht="18.75" customHeight="1">
      <c r="A13" s="15"/>
      <c r="B13" s="137">
        <v>9</v>
      </c>
      <c r="C13" s="237"/>
      <c r="D13" s="181" t="s">
        <v>141</v>
      </c>
      <c r="E13" s="182">
        <v>16</v>
      </c>
      <c r="F13" s="163">
        <v>12</v>
      </c>
      <c r="G13" s="162">
        <f t="shared" si="1"/>
        <v>0.75</v>
      </c>
      <c r="H13" s="178">
        <f t="shared" si="2"/>
        <v>4.5466666666666669</v>
      </c>
      <c r="I13" s="171">
        <v>4.82</v>
      </c>
      <c r="J13" s="172">
        <v>4.82</v>
      </c>
      <c r="K13" s="172">
        <v>4.7300000000000004</v>
      </c>
      <c r="L13" s="172">
        <v>4.09</v>
      </c>
      <c r="M13" s="172">
        <v>4.6399999999999997</v>
      </c>
      <c r="N13" s="172">
        <v>4.6399999999999997</v>
      </c>
      <c r="O13" s="172">
        <v>4.55</v>
      </c>
      <c r="P13" s="172">
        <v>4.2699999999999996</v>
      </c>
      <c r="Q13" s="173">
        <v>4.3600000000000003</v>
      </c>
    </row>
    <row r="14" spans="1:26" ht="18.75" customHeight="1">
      <c r="A14" s="15"/>
      <c r="B14" s="137">
        <v>10</v>
      </c>
      <c r="C14" s="237"/>
      <c r="D14" s="181" t="s">
        <v>468</v>
      </c>
      <c r="E14" s="182">
        <v>25</v>
      </c>
      <c r="F14" s="163">
        <v>21</v>
      </c>
      <c r="G14" s="162">
        <f t="shared" si="1"/>
        <v>0.84</v>
      </c>
      <c r="H14" s="178">
        <f t="shared" si="2"/>
        <v>4.782222222222221</v>
      </c>
      <c r="I14" s="171">
        <v>4.8899999999999997</v>
      </c>
      <c r="J14" s="172">
        <v>4.84</v>
      </c>
      <c r="K14" s="172">
        <v>4.84</v>
      </c>
      <c r="L14" s="172">
        <v>4.63</v>
      </c>
      <c r="M14" s="172">
        <v>4.63</v>
      </c>
      <c r="N14" s="172">
        <v>4.84</v>
      </c>
      <c r="O14" s="172">
        <v>4.74</v>
      </c>
      <c r="P14" s="172">
        <v>4.79</v>
      </c>
      <c r="Q14" s="173">
        <v>4.84</v>
      </c>
    </row>
    <row r="15" spans="1:26" ht="18.75" customHeight="1">
      <c r="A15" s="15"/>
      <c r="B15" s="137">
        <v>11</v>
      </c>
      <c r="C15" s="237"/>
      <c r="D15" s="181" t="s">
        <v>249</v>
      </c>
      <c r="E15" s="182">
        <v>18</v>
      </c>
      <c r="F15" s="163">
        <v>12</v>
      </c>
      <c r="G15" s="162">
        <f t="shared" si="1"/>
        <v>0.66666666666666663</v>
      </c>
      <c r="H15" s="178">
        <f t="shared" si="2"/>
        <v>4.4222222222222216</v>
      </c>
      <c r="I15" s="171">
        <v>4.5999999999999996</v>
      </c>
      <c r="J15" s="172">
        <v>4.53</v>
      </c>
      <c r="K15" s="172">
        <v>4.67</v>
      </c>
      <c r="L15" s="172">
        <v>4.2699999999999996</v>
      </c>
      <c r="M15" s="172">
        <v>4.2</v>
      </c>
      <c r="N15" s="172">
        <v>4.5999999999999996</v>
      </c>
      <c r="O15" s="172">
        <v>4.33</v>
      </c>
      <c r="P15" s="172">
        <v>4.33</v>
      </c>
      <c r="Q15" s="173">
        <v>4.2699999999999996</v>
      </c>
    </row>
    <row r="16" spans="1:26" ht="18.75" customHeight="1">
      <c r="A16" s="15"/>
      <c r="B16" s="137">
        <v>12</v>
      </c>
      <c r="C16" s="237"/>
      <c r="D16" s="181" t="s">
        <v>469</v>
      </c>
      <c r="E16" s="182">
        <v>23</v>
      </c>
      <c r="F16" s="163">
        <v>20</v>
      </c>
      <c r="G16" s="162">
        <f t="shared" si="1"/>
        <v>0.86956521739130432</v>
      </c>
      <c r="H16" s="178" t="e">
        <f t="shared" si="2"/>
        <v>#DIV/0!</v>
      </c>
      <c r="I16" s="171"/>
      <c r="J16" s="172"/>
      <c r="K16" s="172"/>
      <c r="L16" s="172"/>
      <c r="M16" s="172"/>
      <c r="N16" s="172"/>
      <c r="O16" s="172"/>
      <c r="P16" s="172"/>
      <c r="Q16" s="173"/>
    </row>
    <row r="17" spans="1:17" ht="18.75" customHeight="1">
      <c r="A17" s="15"/>
      <c r="B17" s="137">
        <v>13</v>
      </c>
      <c r="C17" s="237"/>
      <c r="D17" s="181" t="s">
        <v>470</v>
      </c>
      <c r="E17" s="182">
        <v>18</v>
      </c>
      <c r="F17" s="163">
        <v>14</v>
      </c>
      <c r="G17" s="162">
        <f t="shared" si="1"/>
        <v>0.77777777777777779</v>
      </c>
      <c r="H17" s="178" t="e">
        <f t="shared" si="2"/>
        <v>#DIV/0!</v>
      </c>
      <c r="I17" s="171"/>
      <c r="J17" s="172"/>
      <c r="K17" s="172"/>
      <c r="L17" s="172"/>
      <c r="M17" s="172"/>
      <c r="N17" s="172"/>
      <c r="O17" s="172"/>
      <c r="P17" s="172"/>
      <c r="Q17" s="173"/>
    </row>
    <row r="18" spans="1:17" ht="18.75" customHeight="1">
      <c r="B18" s="137">
        <v>14</v>
      </c>
      <c r="C18" s="238" t="s">
        <v>136</v>
      </c>
      <c r="D18" s="180" t="s">
        <v>143</v>
      </c>
      <c r="E18" s="182">
        <v>12</v>
      </c>
      <c r="F18" s="163">
        <v>11</v>
      </c>
      <c r="G18" s="162">
        <f t="shared" si="1"/>
        <v>0.91666666666666663</v>
      </c>
      <c r="H18" s="178">
        <f t="shared" si="2"/>
        <v>3.7222222222222223</v>
      </c>
      <c r="I18" s="171">
        <v>3.9</v>
      </c>
      <c r="J18" s="171">
        <v>3.4</v>
      </c>
      <c r="K18" s="171">
        <v>3.7</v>
      </c>
      <c r="L18" s="171">
        <v>3.8</v>
      </c>
      <c r="M18" s="171">
        <v>3.8</v>
      </c>
      <c r="N18" s="171">
        <v>3.8</v>
      </c>
      <c r="O18" s="171">
        <v>3.5</v>
      </c>
      <c r="P18" s="171">
        <v>3.8</v>
      </c>
      <c r="Q18" s="174">
        <v>3.8</v>
      </c>
    </row>
    <row r="19" spans="1:17" ht="18.75" customHeight="1">
      <c r="B19" s="137">
        <v>15</v>
      </c>
      <c r="C19" s="238"/>
      <c r="D19" s="184" t="s">
        <v>471</v>
      </c>
      <c r="E19" s="182">
        <v>14</v>
      </c>
      <c r="F19" s="163">
        <v>8</v>
      </c>
      <c r="G19" s="162">
        <f>F19/E19</f>
        <v>0.5714285714285714</v>
      </c>
      <c r="H19" s="178">
        <f t="shared" si="2"/>
        <v>4.8722222222222218</v>
      </c>
      <c r="I19" s="171">
        <v>5</v>
      </c>
      <c r="J19" s="171">
        <v>5</v>
      </c>
      <c r="K19" s="171">
        <v>5</v>
      </c>
      <c r="L19" s="171">
        <v>4.8499999999999996</v>
      </c>
      <c r="M19" s="171">
        <v>4.7699999999999996</v>
      </c>
      <c r="N19" s="171">
        <v>4.92</v>
      </c>
      <c r="O19" s="171">
        <v>4.8499999999999996</v>
      </c>
      <c r="P19" s="171">
        <v>4.7699999999999996</v>
      </c>
      <c r="Q19" s="174">
        <v>4.6900000000000004</v>
      </c>
    </row>
    <row r="20" spans="1:17" ht="18.75" customHeight="1" thickBot="1">
      <c r="B20" s="159">
        <v>16</v>
      </c>
      <c r="C20" s="239"/>
      <c r="D20" s="185" t="s">
        <v>145</v>
      </c>
      <c r="E20" s="122">
        <v>14</v>
      </c>
      <c r="F20" s="164">
        <v>12</v>
      </c>
      <c r="G20" s="165">
        <f>F20/E20</f>
        <v>0.8571428571428571</v>
      </c>
      <c r="H20" s="179">
        <f t="shared" si="2"/>
        <v>4.8144444444444439</v>
      </c>
      <c r="I20" s="175">
        <v>5</v>
      </c>
      <c r="J20" s="175">
        <v>5</v>
      </c>
      <c r="K20" s="175">
        <v>4.93</v>
      </c>
      <c r="L20" s="175">
        <v>4.87</v>
      </c>
      <c r="M20" s="175">
        <v>4.93</v>
      </c>
      <c r="N20" s="175">
        <v>5</v>
      </c>
      <c r="O20" s="175">
        <v>4.5999999999999996</v>
      </c>
      <c r="P20" s="175">
        <v>4.07</v>
      </c>
      <c r="Q20" s="176">
        <v>4.93</v>
      </c>
    </row>
    <row r="23" spans="1:17">
      <c r="H23" s="10" t="s">
        <v>124</v>
      </c>
    </row>
    <row r="25" spans="1:17">
      <c r="D25" s="123"/>
    </row>
    <row r="26" spans="1:17">
      <c r="D26" s="123"/>
    </row>
    <row r="27" spans="1:17">
      <c r="D27" s="123"/>
    </row>
    <row r="28" spans="1:17">
      <c r="D28" s="123"/>
    </row>
    <row r="29" spans="1:17">
      <c r="D29" s="123"/>
    </row>
    <row r="30" spans="1:17">
      <c r="D30" s="123"/>
    </row>
    <row r="31" spans="1:17">
      <c r="D31" s="123"/>
    </row>
    <row r="32" spans="1:17">
      <c r="D32" s="123"/>
    </row>
    <row r="33" spans="4:4">
      <c r="D33" s="123"/>
    </row>
    <row r="34" spans="4:4">
      <c r="D34" s="123"/>
    </row>
    <row r="35" spans="4:4">
      <c r="D35" s="123"/>
    </row>
    <row r="36" spans="4:4">
      <c r="D36" s="123"/>
    </row>
    <row r="37" spans="4:4">
      <c r="D37" s="123"/>
    </row>
    <row r="38" spans="4:4">
      <c r="D38" s="123"/>
    </row>
    <row r="39" spans="4:4">
      <c r="D39" s="123"/>
    </row>
    <row r="40" spans="4:4">
      <c r="D40" s="123"/>
    </row>
  </sheetData>
  <sortState ref="D36:D71">
    <sortCondition ref="D36"/>
  </sortState>
  <mergeCells count="6">
    <mergeCell ref="C10:C17"/>
    <mergeCell ref="C18:C20"/>
    <mergeCell ref="B1:M1"/>
    <mergeCell ref="B2:G2"/>
    <mergeCell ref="C5:C6"/>
    <mergeCell ref="C7:C9"/>
  </mergeCells>
  <phoneticPr fontId="2" type="noConversion"/>
  <pageMargins left="0.7" right="0.7" top="0.75" bottom="0.75" header="0.3" footer="0.3"/>
  <pageSetup paperSize="9" fitToWidth="0"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K21"/>
  <sheetViews>
    <sheetView zoomScaleNormal="100" workbookViewId="0">
      <selection activeCell="C27" sqref="C27"/>
    </sheetView>
  </sheetViews>
  <sheetFormatPr defaultRowHeight="16.5"/>
  <cols>
    <col min="1" max="1" width="3.625" style="10" customWidth="1"/>
    <col min="2" max="2" width="5" style="10" customWidth="1"/>
    <col min="3" max="3" width="38.375" style="10" bestFit="1" customWidth="1"/>
    <col min="4" max="6" width="4.875" style="10" customWidth="1"/>
    <col min="7" max="30" width="4.75" style="10" customWidth="1"/>
    <col min="31" max="32" width="5.125" style="10" customWidth="1"/>
    <col min="33" max="33" width="6" style="10" customWidth="1"/>
    <col min="34" max="36" width="5.125" style="10" customWidth="1"/>
    <col min="37" max="37" width="4.5" style="10" customWidth="1"/>
    <col min="38" max="16384" width="9" style="10"/>
  </cols>
  <sheetData>
    <row r="1" spans="2:37" ht="45" customHeight="1">
      <c r="B1" s="245" t="s">
        <v>78</v>
      </c>
      <c r="C1" s="245"/>
      <c r="D1" s="245"/>
      <c r="E1" s="245"/>
      <c r="F1" s="245"/>
      <c r="G1" s="245"/>
      <c r="H1" s="245"/>
      <c r="I1" s="245"/>
      <c r="J1" s="245"/>
      <c r="K1" s="245"/>
      <c r="L1" s="245"/>
      <c r="M1" s="245"/>
      <c r="N1" s="245"/>
      <c r="O1" s="245"/>
      <c r="P1" s="245"/>
      <c r="Q1" s="245"/>
      <c r="R1" s="245"/>
    </row>
    <row r="2" spans="2:37" ht="30" customHeight="1" thickBot="1">
      <c r="B2" s="11"/>
      <c r="C2" s="11"/>
      <c r="D2" s="11"/>
      <c r="E2" s="11"/>
      <c r="F2" s="11"/>
      <c r="G2" s="11"/>
      <c r="H2" s="11"/>
      <c r="I2" s="11"/>
      <c r="J2" s="11"/>
      <c r="K2" s="11"/>
      <c r="L2" s="11"/>
      <c r="M2" s="11"/>
      <c r="N2" s="11"/>
      <c r="O2" s="11"/>
      <c r="P2" s="11"/>
      <c r="Q2" s="11"/>
      <c r="R2" s="11"/>
    </row>
    <row r="3" spans="2:37" ht="24.75" customHeight="1">
      <c r="B3" s="246" t="s">
        <v>33</v>
      </c>
      <c r="C3" s="243" t="s">
        <v>63</v>
      </c>
      <c r="D3" s="243" t="s">
        <v>38</v>
      </c>
      <c r="E3" s="243"/>
      <c r="F3" s="243"/>
      <c r="G3" s="243" t="s">
        <v>39</v>
      </c>
      <c r="H3" s="243"/>
      <c r="I3" s="243"/>
      <c r="J3" s="243"/>
      <c r="K3" s="243"/>
      <c r="L3" s="243"/>
      <c r="M3" s="243"/>
      <c r="N3" s="243"/>
      <c r="O3" s="243"/>
      <c r="P3" s="243"/>
      <c r="Q3" s="243"/>
      <c r="R3" s="243"/>
      <c r="S3" s="243"/>
      <c r="T3" s="243"/>
      <c r="U3" s="243"/>
      <c r="V3" s="243"/>
      <c r="W3" s="129"/>
      <c r="X3" s="243" t="s">
        <v>40</v>
      </c>
      <c r="Y3" s="243"/>
      <c r="Z3" s="243"/>
      <c r="AA3" s="243"/>
      <c r="AB3" s="243"/>
      <c r="AC3" s="243"/>
      <c r="AD3" s="243"/>
      <c r="AE3" s="243" t="s">
        <v>41</v>
      </c>
      <c r="AF3" s="243"/>
      <c r="AG3" s="243"/>
      <c r="AH3" s="243"/>
      <c r="AI3" s="243"/>
      <c r="AJ3" s="243"/>
      <c r="AK3" s="244"/>
    </row>
    <row r="4" spans="2:37" ht="24.75" customHeight="1" thickBot="1">
      <c r="B4" s="247"/>
      <c r="C4" s="248"/>
      <c r="D4" s="130" t="s">
        <v>5</v>
      </c>
      <c r="E4" s="130" t="s">
        <v>6</v>
      </c>
      <c r="F4" s="130" t="s">
        <v>76</v>
      </c>
      <c r="G4" s="49" t="s">
        <v>7</v>
      </c>
      <c r="H4" s="49" t="s">
        <v>8</v>
      </c>
      <c r="I4" s="49" t="s">
        <v>9</v>
      </c>
      <c r="J4" s="49" t="s">
        <v>10</v>
      </c>
      <c r="K4" s="49" t="s">
        <v>11</v>
      </c>
      <c r="L4" s="49" t="s">
        <v>12</v>
      </c>
      <c r="M4" s="49" t="s">
        <v>13</v>
      </c>
      <c r="N4" s="49" t="s">
        <v>14</v>
      </c>
      <c r="O4" s="49" t="s">
        <v>15</v>
      </c>
      <c r="P4" s="49" t="s">
        <v>16</v>
      </c>
      <c r="Q4" s="49" t="s">
        <v>17</v>
      </c>
      <c r="R4" s="49" t="s">
        <v>18</v>
      </c>
      <c r="S4" s="49" t="s">
        <v>19</v>
      </c>
      <c r="T4" s="49" t="s">
        <v>20</v>
      </c>
      <c r="U4" s="49" t="s">
        <v>21</v>
      </c>
      <c r="V4" s="49" t="s">
        <v>76</v>
      </c>
      <c r="W4" s="49" t="s">
        <v>111</v>
      </c>
      <c r="X4" s="130" t="s">
        <v>22</v>
      </c>
      <c r="Y4" s="130" t="s">
        <v>23</v>
      </c>
      <c r="Z4" s="130" t="s">
        <v>24</v>
      </c>
      <c r="AA4" s="130" t="s">
        <v>25</v>
      </c>
      <c r="AB4" s="130" t="s">
        <v>26</v>
      </c>
      <c r="AC4" s="49" t="s">
        <v>27</v>
      </c>
      <c r="AD4" s="49" t="s">
        <v>76</v>
      </c>
      <c r="AE4" s="130" t="s">
        <v>28</v>
      </c>
      <c r="AF4" s="130" t="s">
        <v>29</v>
      </c>
      <c r="AG4" s="50" t="s">
        <v>74</v>
      </c>
      <c r="AH4" s="130" t="s">
        <v>30</v>
      </c>
      <c r="AI4" s="130" t="s">
        <v>31</v>
      </c>
      <c r="AJ4" s="130" t="s">
        <v>32</v>
      </c>
      <c r="AK4" s="51" t="s">
        <v>76</v>
      </c>
    </row>
    <row r="5" spans="2:37" ht="15" customHeight="1" thickBot="1">
      <c r="B5" s="52"/>
      <c r="C5" s="53" t="s">
        <v>75</v>
      </c>
      <c r="D5" s="53">
        <f t="shared" ref="D5:V5" si="0">SUM(D6:D20)</f>
        <v>28</v>
      </c>
      <c r="E5" s="53">
        <f t="shared" si="0"/>
        <v>187</v>
      </c>
      <c r="F5" s="53">
        <f t="shared" si="0"/>
        <v>215</v>
      </c>
      <c r="G5" s="53">
        <f t="shared" si="0"/>
        <v>4</v>
      </c>
      <c r="H5" s="53">
        <f t="shared" si="0"/>
        <v>2</v>
      </c>
      <c r="I5" s="53">
        <f t="shared" si="0"/>
        <v>133</v>
      </c>
      <c r="J5" s="53">
        <f t="shared" si="0"/>
        <v>1</v>
      </c>
      <c r="K5" s="53">
        <f t="shared" si="0"/>
        <v>3</v>
      </c>
      <c r="L5" s="53">
        <f t="shared" si="0"/>
        <v>1</v>
      </c>
      <c r="M5" s="53">
        <f t="shared" si="0"/>
        <v>5</v>
      </c>
      <c r="N5" s="53">
        <f t="shared" si="0"/>
        <v>5</v>
      </c>
      <c r="O5" s="53">
        <f t="shared" si="0"/>
        <v>0</v>
      </c>
      <c r="P5" s="53">
        <f t="shared" si="0"/>
        <v>2</v>
      </c>
      <c r="Q5" s="53">
        <f t="shared" si="0"/>
        <v>7</v>
      </c>
      <c r="R5" s="53">
        <f t="shared" si="0"/>
        <v>29</v>
      </c>
      <c r="S5" s="53">
        <f t="shared" si="0"/>
        <v>18</v>
      </c>
      <c r="T5" s="53">
        <f t="shared" si="0"/>
        <v>5</v>
      </c>
      <c r="U5" s="53">
        <f t="shared" si="0"/>
        <v>0</v>
      </c>
      <c r="V5" s="53">
        <f t="shared" si="0"/>
        <v>215</v>
      </c>
      <c r="W5" s="53"/>
      <c r="X5" s="53">
        <f t="shared" ref="X5:AK5" si="1">SUM(X6:X20)</f>
        <v>1</v>
      </c>
      <c r="Y5" s="53">
        <f t="shared" si="1"/>
        <v>1</v>
      </c>
      <c r="Z5" s="53">
        <f t="shared" si="1"/>
        <v>13</v>
      </c>
      <c r="AA5" s="53">
        <f t="shared" si="1"/>
        <v>36</v>
      </c>
      <c r="AB5" s="53">
        <f t="shared" si="1"/>
        <v>66</v>
      </c>
      <c r="AC5" s="53">
        <f t="shared" si="1"/>
        <v>98</v>
      </c>
      <c r="AD5" s="53">
        <f t="shared" si="1"/>
        <v>215</v>
      </c>
      <c r="AE5" s="53">
        <f t="shared" si="1"/>
        <v>18</v>
      </c>
      <c r="AF5" s="53">
        <f t="shared" si="1"/>
        <v>14</v>
      </c>
      <c r="AG5" s="53">
        <f t="shared" si="1"/>
        <v>8</v>
      </c>
      <c r="AH5" s="53">
        <f t="shared" si="1"/>
        <v>162</v>
      </c>
      <c r="AI5" s="53">
        <f t="shared" si="1"/>
        <v>1</v>
      </c>
      <c r="AJ5" s="53">
        <f t="shared" si="1"/>
        <v>12</v>
      </c>
      <c r="AK5" s="54">
        <f t="shared" si="1"/>
        <v>215</v>
      </c>
    </row>
    <row r="6" spans="2:37" ht="18" customHeight="1">
      <c r="B6" s="38">
        <v>1</v>
      </c>
      <c r="C6" s="183" t="s">
        <v>132</v>
      </c>
      <c r="D6" s="141">
        <v>3</v>
      </c>
      <c r="E6" s="141">
        <v>10</v>
      </c>
      <c r="F6" s="186">
        <f t="shared" ref="F6:F15" si="2">SUM(D6:E6)</f>
        <v>13</v>
      </c>
      <c r="G6" s="141">
        <v>1</v>
      </c>
      <c r="H6" s="141"/>
      <c r="I6" s="141">
        <v>2</v>
      </c>
      <c r="J6" s="141"/>
      <c r="K6" s="141"/>
      <c r="L6" s="141"/>
      <c r="M6" s="141">
        <v>3</v>
      </c>
      <c r="N6" s="141"/>
      <c r="O6" s="141"/>
      <c r="P6" s="141"/>
      <c r="Q6" s="141">
        <v>2</v>
      </c>
      <c r="R6" s="141">
        <v>2</v>
      </c>
      <c r="S6" s="141">
        <v>3</v>
      </c>
      <c r="T6" s="141"/>
      <c r="U6" s="141"/>
      <c r="V6" s="186">
        <f t="shared" ref="V6:V15" si="3">SUM(G6:U6)</f>
        <v>13</v>
      </c>
      <c r="W6" s="160"/>
      <c r="X6" s="141">
        <v>1</v>
      </c>
      <c r="Y6" s="141"/>
      <c r="Z6" s="141">
        <v>3</v>
      </c>
      <c r="AA6" s="141">
        <v>5</v>
      </c>
      <c r="AB6" s="141">
        <v>2</v>
      </c>
      <c r="AC6" s="141">
        <v>2</v>
      </c>
      <c r="AD6" s="186">
        <f t="shared" ref="AD6:AD15" si="4">SUM(X6:AC6)</f>
        <v>13</v>
      </c>
      <c r="AE6" s="141">
        <v>2</v>
      </c>
      <c r="AF6" s="141">
        <v>3</v>
      </c>
      <c r="AG6" s="141"/>
      <c r="AH6" s="141">
        <v>8</v>
      </c>
      <c r="AI6" s="141"/>
      <c r="AJ6" s="141"/>
      <c r="AK6" s="187">
        <f t="shared" ref="AK6:AK15" si="5">SUM(AE6:AJ6)</f>
        <v>13</v>
      </c>
    </row>
    <row r="7" spans="2:37" s="29" customFormat="1" ht="18" customHeight="1">
      <c r="B7" s="137">
        <v>2</v>
      </c>
      <c r="C7" s="181" t="s">
        <v>134</v>
      </c>
      <c r="D7" s="134">
        <v>0</v>
      </c>
      <c r="E7" s="134">
        <v>6</v>
      </c>
      <c r="F7" s="133">
        <f t="shared" si="2"/>
        <v>6</v>
      </c>
      <c r="G7" s="134"/>
      <c r="H7" s="134"/>
      <c r="I7" s="134">
        <v>3</v>
      </c>
      <c r="J7" s="134"/>
      <c r="K7" s="134"/>
      <c r="L7" s="134"/>
      <c r="M7" s="134"/>
      <c r="N7" s="134"/>
      <c r="O7" s="134"/>
      <c r="P7" s="134"/>
      <c r="Q7" s="134"/>
      <c r="R7" s="134">
        <v>2</v>
      </c>
      <c r="S7" s="134"/>
      <c r="T7" s="134">
        <v>1</v>
      </c>
      <c r="U7" s="134"/>
      <c r="V7" s="133">
        <f t="shared" si="3"/>
        <v>6</v>
      </c>
      <c r="W7" s="134"/>
      <c r="X7" s="134"/>
      <c r="Y7" s="134"/>
      <c r="Z7" s="134">
        <v>1</v>
      </c>
      <c r="AA7" s="134">
        <v>3</v>
      </c>
      <c r="AB7" s="134"/>
      <c r="AC7" s="134">
        <v>2</v>
      </c>
      <c r="AD7" s="133">
        <f t="shared" si="4"/>
        <v>6</v>
      </c>
      <c r="AE7" s="134">
        <v>1</v>
      </c>
      <c r="AF7" s="134">
        <v>1</v>
      </c>
      <c r="AG7" s="134"/>
      <c r="AH7" s="134">
        <v>4</v>
      </c>
      <c r="AI7" s="134"/>
      <c r="AJ7" s="134"/>
      <c r="AK7" s="135">
        <f t="shared" si="5"/>
        <v>6</v>
      </c>
    </row>
    <row r="8" spans="2:37" s="136" customFormat="1" ht="18" customHeight="1">
      <c r="B8" s="131">
        <v>3</v>
      </c>
      <c r="C8" s="181" t="s">
        <v>465</v>
      </c>
      <c r="D8" s="132">
        <v>4</v>
      </c>
      <c r="E8" s="132">
        <v>7</v>
      </c>
      <c r="F8" s="133">
        <f t="shared" si="2"/>
        <v>11</v>
      </c>
      <c r="G8" s="132">
        <v>1</v>
      </c>
      <c r="H8" s="132">
        <v>1</v>
      </c>
      <c r="I8" s="132">
        <v>6</v>
      </c>
      <c r="J8" s="132"/>
      <c r="K8" s="132"/>
      <c r="L8" s="132"/>
      <c r="M8" s="132"/>
      <c r="N8" s="132">
        <v>1</v>
      </c>
      <c r="O8" s="132"/>
      <c r="P8" s="132"/>
      <c r="Q8" s="132">
        <v>1</v>
      </c>
      <c r="R8" s="132">
        <v>1</v>
      </c>
      <c r="S8" s="132"/>
      <c r="T8" s="132"/>
      <c r="U8" s="132"/>
      <c r="V8" s="133">
        <f t="shared" si="3"/>
        <v>11</v>
      </c>
      <c r="W8" s="134"/>
      <c r="X8" s="132"/>
      <c r="Y8" s="132"/>
      <c r="Z8" s="132"/>
      <c r="AA8" s="132">
        <v>4</v>
      </c>
      <c r="AB8" s="132">
        <v>3</v>
      </c>
      <c r="AC8" s="132">
        <v>4</v>
      </c>
      <c r="AD8" s="133">
        <f t="shared" si="4"/>
        <v>11</v>
      </c>
      <c r="AE8" s="132">
        <v>1</v>
      </c>
      <c r="AF8" s="132">
        <v>1</v>
      </c>
      <c r="AG8" s="132"/>
      <c r="AH8" s="132">
        <v>7</v>
      </c>
      <c r="AI8" s="132"/>
      <c r="AJ8" s="132">
        <v>2</v>
      </c>
      <c r="AK8" s="135">
        <f t="shared" si="5"/>
        <v>11</v>
      </c>
    </row>
    <row r="9" spans="2:37" ht="18" customHeight="1">
      <c r="B9" s="39">
        <v>4</v>
      </c>
      <c r="C9" s="181" t="s">
        <v>250</v>
      </c>
      <c r="D9" s="134">
        <v>0</v>
      </c>
      <c r="E9" s="134">
        <v>13</v>
      </c>
      <c r="F9" s="133">
        <f t="shared" si="2"/>
        <v>13</v>
      </c>
      <c r="G9" s="134"/>
      <c r="H9" s="134"/>
      <c r="I9" s="134">
        <v>4</v>
      </c>
      <c r="J9" s="134"/>
      <c r="K9" s="134"/>
      <c r="L9" s="134">
        <v>1</v>
      </c>
      <c r="M9" s="134"/>
      <c r="N9" s="134">
        <v>1</v>
      </c>
      <c r="O9" s="134"/>
      <c r="P9" s="134"/>
      <c r="Q9" s="134"/>
      <c r="R9" s="134">
        <v>3</v>
      </c>
      <c r="S9" s="134">
        <v>3</v>
      </c>
      <c r="T9" s="134">
        <v>1</v>
      </c>
      <c r="U9" s="134"/>
      <c r="V9" s="133">
        <f t="shared" si="3"/>
        <v>13</v>
      </c>
      <c r="W9" s="134"/>
      <c r="X9" s="134"/>
      <c r="Y9" s="134"/>
      <c r="Z9" s="134">
        <v>3</v>
      </c>
      <c r="AA9" s="134">
        <v>3</v>
      </c>
      <c r="AB9" s="134">
        <v>4</v>
      </c>
      <c r="AC9" s="134">
        <v>3</v>
      </c>
      <c r="AD9" s="133">
        <f t="shared" si="4"/>
        <v>13</v>
      </c>
      <c r="AE9" s="134">
        <v>3</v>
      </c>
      <c r="AF9" s="134"/>
      <c r="AG9" s="134"/>
      <c r="AH9" s="134">
        <v>10</v>
      </c>
      <c r="AI9" s="134"/>
      <c r="AJ9" s="134"/>
      <c r="AK9" s="135">
        <f t="shared" si="5"/>
        <v>13</v>
      </c>
    </row>
    <row r="10" spans="2:37" ht="18" customHeight="1">
      <c r="B10" s="39">
        <v>5</v>
      </c>
      <c r="C10" s="181" t="s">
        <v>138</v>
      </c>
      <c r="D10" s="132">
        <v>1</v>
      </c>
      <c r="E10" s="132">
        <v>12</v>
      </c>
      <c r="F10" s="133">
        <f t="shared" si="2"/>
        <v>13</v>
      </c>
      <c r="G10" s="132"/>
      <c r="H10" s="132"/>
      <c r="I10" s="132">
        <v>12</v>
      </c>
      <c r="J10" s="132"/>
      <c r="K10" s="132"/>
      <c r="L10" s="132"/>
      <c r="M10" s="132"/>
      <c r="N10" s="132"/>
      <c r="O10" s="132"/>
      <c r="P10" s="132"/>
      <c r="Q10" s="132"/>
      <c r="R10" s="132">
        <v>1</v>
      </c>
      <c r="S10" s="132"/>
      <c r="T10" s="132"/>
      <c r="U10" s="132"/>
      <c r="V10" s="133">
        <f t="shared" si="3"/>
        <v>13</v>
      </c>
      <c r="W10" s="134"/>
      <c r="X10" s="132"/>
      <c r="Y10" s="132"/>
      <c r="Z10" s="132"/>
      <c r="AA10" s="132"/>
      <c r="AB10" s="132">
        <v>1</v>
      </c>
      <c r="AC10" s="132">
        <v>12</v>
      </c>
      <c r="AD10" s="133">
        <f t="shared" si="4"/>
        <v>13</v>
      </c>
      <c r="AE10" s="132"/>
      <c r="AF10" s="132"/>
      <c r="AG10" s="132"/>
      <c r="AH10" s="132">
        <v>12</v>
      </c>
      <c r="AI10" s="132"/>
      <c r="AJ10" s="132">
        <v>1</v>
      </c>
      <c r="AK10" s="135">
        <f t="shared" si="5"/>
        <v>13</v>
      </c>
    </row>
    <row r="11" spans="2:37" ht="18" customHeight="1">
      <c r="B11" s="39">
        <v>6</v>
      </c>
      <c r="C11" s="181" t="s">
        <v>139</v>
      </c>
      <c r="D11" s="132">
        <v>1</v>
      </c>
      <c r="E11" s="132">
        <v>14</v>
      </c>
      <c r="F11" s="133">
        <f t="shared" si="2"/>
        <v>15</v>
      </c>
      <c r="G11" s="132">
        <v>1</v>
      </c>
      <c r="H11" s="132">
        <v>1</v>
      </c>
      <c r="I11" s="132">
        <v>10</v>
      </c>
      <c r="J11" s="132"/>
      <c r="K11" s="132">
        <v>2</v>
      </c>
      <c r="L11" s="132"/>
      <c r="M11" s="132"/>
      <c r="N11" s="132"/>
      <c r="O11" s="132"/>
      <c r="P11" s="132"/>
      <c r="Q11" s="132"/>
      <c r="R11" s="132">
        <v>1</v>
      </c>
      <c r="S11" s="132"/>
      <c r="T11" s="132"/>
      <c r="U11" s="132"/>
      <c r="V11" s="133">
        <f t="shared" si="3"/>
        <v>15</v>
      </c>
      <c r="W11" s="134"/>
      <c r="X11" s="132"/>
      <c r="Y11" s="132"/>
      <c r="Z11" s="132"/>
      <c r="AA11" s="132">
        <v>6</v>
      </c>
      <c r="AB11" s="132">
        <v>4</v>
      </c>
      <c r="AC11" s="132">
        <v>5</v>
      </c>
      <c r="AD11" s="133">
        <f t="shared" si="4"/>
        <v>15</v>
      </c>
      <c r="AE11" s="132">
        <v>3</v>
      </c>
      <c r="AF11" s="132">
        <v>1</v>
      </c>
      <c r="AG11" s="132">
        <v>1</v>
      </c>
      <c r="AH11" s="132">
        <v>10</v>
      </c>
      <c r="AI11" s="132"/>
      <c r="AJ11" s="132"/>
      <c r="AK11" s="135">
        <f t="shared" si="5"/>
        <v>15</v>
      </c>
    </row>
    <row r="12" spans="2:37" ht="18" customHeight="1">
      <c r="B12" s="39">
        <v>7</v>
      </c>
      <c r="C12" s="181" t="s">
        <v>466</v>
      </c>
      <c r="D12" s="132">
        <v>6</v>
      </c>
      <c r="E12" s="132">
        <v>19</v>
      </c>
      <c r="F12" s="133">
        <f t="shared" si="2"/>
        <v>25</v>
      </c>
      <c r="G12" s="132"/>
      <c r="H12" s="132"/>
      <c r="I12" s="132">
        <v>17</v>
      </c>
      <c r="J12" s="132"/>
      <c r="K12" s="132"/>
      <c r="L12" s="132"/>
      <c r="M12" s="132">
        <v>2</v>
      </c>
      <c r="N12" s="132"/>
      <c r="O12" s="132"/>
      <c r="P12" s="132"/>
      <c r="Q12" s="132"/>
      <c r="R12" s="132">
        <v>3</v>
      </c>
      <c r="S12" s="132">
        <v>3</v>
      </c>
      <c r="T12" s="132"/>
      <c r="U12" s="132"/>
      <c r="V12" s="133">
        <f t="shared" si="3"/>
        <v>25</v>
      </c>
      <c r="W12" s="134"/>
      <c r="X12" s="132"/>
      <c r="Y12" s="132"/>
      <c r="Z12" s="132"/>
      <c r="AA12" s="132">
        <v>2</v>
      </c>
      <c r="AB12" s="132">
        <v>8</v>
      </c>
      <c r="AC12" s="132">
        <v>15</v>
      </c>
      <c r="AD12" s="133">
        <f t="shared" si="4"/>
        <v>25</v>
      </c>
      <c r="AE12" s="132">
        <v>2</v>
      </c>
      <c r="AF12" s="132"/>
      <c r="AG12" s="132"/>
      <c r="AH12" s="132">
        <v>18</v>
      </c>
      <c r="AI12" s="132"/>
      <c r="AJ12" s="132">
        <v>5</v>
      </c>
      <c r="AK12" s="135">
        <f t="shared" si="5"/>
        <v>25</v>
      </c>
    </row>
    <row r="13" spans="2:37" ht="18" customHeight="1">
      <c r="B13" s="39">
        <v>8</v>
      </c>
      <c r="C13" s="181" t="s">
        <v>467</v>
      </c>
      <c r="D13" s="132">
        <v>0</v>
      </c>
      <c r="E13" s="132">
        <v>18</v>
      </c>
      <c r="F13" s="133">
        <f t="shared" si="2"/>
        <v>18</v>
      </c>
      <c r="G13" s="132"/>
      <c r="H13" s="132"/>
      <c r="I13" s="132">
        <v>13</v>
      </c>
      <c r="J13" s="132"/>
      <c r="K13" s="132"/>
      <c r="L13" s="132"/>
      <c r="M13" s="132"/>
      <c r="N13" s="132"/>
      <c r="O13" s="132"/>
      <c r="P13" s="132"/>
      <c r="Q13" s="132"/>
      <c r="R13" s="132">
        <v>3</v>
      </c>
      <c r="S13" s="132"/>
      <c r="T13" s="132">
        <v>2</v>
      </c>
      <c r="U13" s="132"/>
      <c r="V13" s="133">
        <f t="shared" si="3"/>
        <v>18</v>
      </c>
      <c r="W13" s="134"/>
      <c r="X13" s="132"/>
      <c r="Y13" s="132"/>
      <c r="Z13" s="132"/>
      <c r="AA13" s="132">
        <v>2</v>
      </c>
      <c r="AB13" s="132">
        <v>7</v>
      </c>
      <c r="AC13" s="132">
        <v>9</v>
      </c>
      <c r="AD13" s="133">
        <f t="shared" si="4"/>
        <v>18</v>
      </c>
      <c r="AE13" s="132"/>
      <c r="AF13" s="132"/>
      <c r="AG13" s="132"/>
      <c r="AH13" s="132">
        <v>18</v>
      </c>
      <c r="AI13" s="132"/>
      <c r="AJ13" s="132"/>
      <c r="AK13" s="135">
        <f t="shared" si="5"/>
        <v>18</v>
      </c>
    </row>
    <row r="14" spans="2:37" ht="18" customHeight="1">
      <c r="B14" s="39">
        <v>9</v>
      </c>
      <c r="C14" s="181" t="s">
        <v>141</v>
      </c>
      <c r="D14" s="132">
        <v>0</v>
      </c>
      <c r="E14" s="132">
        <v>11</v>
      </c>
      <c r="F14" s="133">
        <f t="shared" si="2"/>
        <v>11</v>
      </c>
      <c r="G14" s="132"/>
      <c r="H14" s="132"/>
      <c r="I14" s="132">
        <v>3</v>
      </c>
      <c r="J14" s="132"/>
      <c r="K14" s="132"/>
      <c r="L14" s="132"/>
      <c r="M14" s="132"/>
      <c r="N14" s="132">
        <v>1</v>
      </c>
      <c r="O14" s="132"/>
      <c r="P14" s="132"/>
      <c r="Q14" s="132">
        <v>2</v>
      </c>
      <c r="R14" s="132">
        <v>2</v>
      </c>
      <c r="S14" s="132">
        <v>3</v>
      </c>
      <c r="T14" s="132"/>
      <c r="U14" s="132"/>
      <c r="V14" s="133">
        <f t="shared" si="3"/>
        <v>11</v>
      </c>
      <c r="W14" s="134"/>
      <c r="X14" s="132"/>
      <c r="Y14" s="132">
        <v>1</v>
      </c>
      <c r="Z14" s="132"/>
      <c r="AA14" s="132">
        <v>3</v>
      </c>
      <c r="AB14" s="132">
        <v>4</v>
      </c>
      <c r="AC14" s="132">
        <v>3</v>
      </c>
      <c r="AD14" s="133">
        <f t="shared" si="4"/>
        <v>11</v>
      </c>
      <c r="AE14" s="132">
        <v>2</v>
      </c>
      <c r="AF14" s="132"/>
      <c r="AG14" s="132"/>
      <c r="AH14" s="132">
        <v>8</v>
      </c>
      <c r="AI14" s="132"/>
      <c r="AJ14" s="132">
        <v>1</v>
      </c>
      <c r="AK14" s="135">
        <f t="shared" si="5"/>
        <v>11</v>
      </c>
    </row>
    <row r="15" spans="2:37" ht="18" customHeight="1">
      <c r="B15" s="39">
        <v>10</v>
      </c>
      <c r="C15" s="181" t="s">
        <v>468</v>
      </c>
      <c r="D15" s="132">
        <v>0</v>
      </c>
      <c r="E15" s="132">
        <v>19</v>
      </c>
      <c r="F15" s="145">
        <f t="shared" si="2"/>
        <v>19</v>
      </c>
      <c r="G15" s="132"/>
      <c r="H15" s="132"/>
      <c r="I15" s="132">
        <v>14</v>
      </c>
      <c r="J15" s="132"/>
      <c r="K15" s="132"/>
      <c r="L15" s="132"/>
      <c r="M15" s="132"/>
      <c r="N15" s="132"/>
      <c r="O15" s="132"/>
      <c r="P15" s="132"/>
      <c r="Q15" s="132"/>
      <c r="R15" s="132">
        <v>3</v>
      </c>
      <c r="S15" s="132">
        <v>2</v>
      </c>
      <c r="T15" s="132"/>
      <c r="U15" s="132"/>
      <c r="V15" s="133">
        <f t="shared" si="3"/>
        <v>19</v>
      </c>
      <c r="W15" s="134"/>
      <c r="X15" s="132"/>
      <c r="Y15" s="132"/>
      <c r="Z15" s="132">
        <v>5</v>
      </c>
      <c r="AA15" s="132">
        <v>3</v>
      </c>
      <c r="AB15" s="132">
        <v>7</v>
      </c>
      <c r="AC15" s="132">
        <v>4</v>
      </c>
      <c r="AD15" s="133">
        <f t="shared" si="4"/>
        <v>19</v>
      </c>
      <c r="AE15" s="132">
        <v>2</v>
      </c>
      <c r="AF15" s="132"/>
      <c r="AG15" s="132"/>
      <c r="AH15" s="132">
        <v>17</v>
      </c>
      <c r="AI15" s="132"/>
      <c r="AJ15" s="132"/>
      <c r="AK15" s="146">
        <f t="shared" si="5"/>
        <v>19</v>
      </c>
    </row>
    <row r="16" spans="2:37" ht="18" customHeight="1">
      <c r="B16" s="39">
        <v>11</v>
      </c>
      <c r="C16" s="181" t="s">
        <v>249</v>
      </c>
      <c r="D16" s="132">
        <v>5</v>
      </c>
      <c r="E16" s="132">
        <v>10</v>
      </c>
      <c r="F16" s="145">
        <f t="shared" ref="F16:F21" si="6">SUM(D16:E16)</f>
        <v>15</v>
      </c>
      <c r="G16" s="132">
        <v>1</v>
      </c>
      <c r="H16" s="132"/>
      <c r="I16" s="132">
        <v>9</v>
      </c>
      <c r="J16" s="132"/>
      <c r="K16" s="132">
        <v>1</v>
      </c>
      <c r="L16" s="132"/>
      <c r="M16" s="132"/>
      <c r="N16" s="132">
        <v>1</v>
      </c>
      <c r="O16" s="132"/>
      <c r="P16" s="132">
        <v>1</v>
      </c>
      <c r="Q16" s="132">
        <v>1</v>
      </c>
      <c r="R16" s="132">
        <v>1</v>
      </c>
      <c r="S16" s="132"/>
      <c r="T16" s="132"/>
      <c r="U16" s="132"/>
      <c r="V16" s="133">
        <f t="shared" ref="V16:V21" si="7">SUM(G16:U16)</f>
        <v>15</v>
      </c>
      <c r="W16" s="134"/>
      <c r="X16" s="132"/>
      <c r="Y16" s="132"/>
      <c r="Z16" s="132">
        <v>1</v>
      </c>
      <c r="AA16" s="132">
        <v>3</v>
      </c>
      <c r="AB16" s="132">
        <v>5</v>
      </c>
      <c r="AC16" s="132">
        <v>6</v>
      </c>
      <c r="AD16" s="133">
        <f t="shared" ref="AD16:AD21" si="8">SUM(X16:AC16)</f>
        <v>15</v>
      </c>
      <c r="AE16" s="132">
        <v>1</v>
      </c>
      <c r="AF16" s="132">
        <v>3</v>
      </c>
      <c r="AG16" s="132">
        <v>2</v>
      </c>
      <c r="AH16" s="132">
        <v>9</v>
      </c>
      <c r="AI16" s="132"/>
      <c r="AJ16" s="132"/>
      <c r="AK16" s="146">
        <f t="shared" ref="AK16:AK21" si="9">SUM(AE16:AJ16)</f>
        <v>15</v>
      </c>
    </row>
    <row r="17" spans="2:37" ht="18" customHeight="1">
      <c r="B17" s="39">
        <v>12</v>
      </c>
      <c r="C17" s="181" t="s">
        <v>469</v>
      </c>
      <c r="D17" s="132">
        <v>0</v>
      </c>
      <c r="E17" s="132">
        <v>18</v>
      </c>
      <c r="F17" s="133">
        <f t="shared" si="6"/>
        <v>18</v>
      </c>
      <c r="G17" s="132"/>
      <c r="H17" s="132"/>
      <c r="I17" s="132">
        <v>12</v>
      </c>
      <c r="J17" s="132">
        <v>1</v>
      </c>
      <c r="K17" s="132"/>
      <c r="L17" s="132"/>
      <c r="M17" s="132"/>
      <c r="N17" s="132">
        <v>1</v>
      </c>
      <c r="O17" s="132"/>
      <c r="P17" s="132"/>
      <c r="Q17" s="132">
        <v>1</v>
      </c>
      <c r="R17" s="132">
        <v>2</v>
      </c>
      <c r="S17" s="132">
        <v>1</v>
      </c>
      <c r="T17" s="132"/>
      <c r="U17" s="132"/>
      <c r="V17" s="133">
        <f t="shared" si="7"/>
        <v>18</v>
      </c>
      <c r="W17" s="134"/>
      <c r="X17" s="132"/>
      <c r="Y17" s="132"/>
      <c r="Z17" s="132"/>
      <c r="AA17" s="132">
        <v>2</v>
      </c>
      <c r="AB17" s="132">
        <v>9</v>
      </c>
      <c r="AC17" s="132">
        <v>7</v>
      </c>
      <c r="AD17" s="133">
        <f t="shared" si="8"/>
        <v>18</v>
      </c>
      <c r="AE17" s="132"/>
      <c r="AF17" s="132">
        <v>1</v>
      </c>
      <c r="AG17" s="132"/>
      <c r="AH17" s="132">
        <v>17</v>
      </c>
      <c r="AI17" s="132"/>
      <c r="AJ17" s="132"/>
      <c r="AK17" s="135">
        <f t="shared" si="9"/>
        <v>18</v>
      </c>
    </row>
    <row r="18" spans="2:37" ht="18" customHeight="1">
      <c r="B18" s="39">
        <v>13</v>
      </c>
      <c r="C18" s="181" t="s">
        <v>470</v>
      </c>
      <c r="D18" s="132">
        <v>0</v>
      </c>
      <c r="E18" s="132">
        <v>10</v>
      </c>
      <c r="F18" s="133">
        <f t="shared" si="6"/>
        <v>10</v>
      </c>
      <c r="G18" s="132"/>
      <c r="H18" s="132"/>
      <c r="I18" s="132">
        <v>10</v>
      </c>
      <c r="J18" s="132"/>
      <c r="K18" s="132"/>
      <c r="L18" s="132"/>
      <c r="M18" s="132"/>
      <c r="N18" s="132"/>
      <c r="O18" s="132"/>
      <c r="P18" s="132"/>
      <c r="Q18" s="132"/>
      <c r="R18" s="132"/>
      <c r="S18" s="132"/>
      <c r="T18" s="132"/>
      <c r="U18" s="132"/>
      <c r="V18" s="133">
        <f t="shared" si="7"/>
        <v>10</v>
      </c>
      <c r="W18" s="132"/>
      <c r="X18" s="132"/>
      <c r="Y18" s="132"/>
      <c r="Z18" s="132"/>
      <c r="AA18" s="132"/>
      <c r="AB18" s="132">
        <v>1</v>
      </c>
      <c r="AC18" s="132">
        <v>9</v>
      </c>
      <c r="AD18" s="133">
        <f t="shared" si="8"/>
        <v>10</v>
      </c>
      <c r="AE18" s="132"/>
      <c r="AF18" s="132"/>
      <c r="AG18" s="132">
        <v>1</v>
      </c>
      <c r="AH18" s="132">
        <v>9</v>
      </c>
      <c r="AI18" s="132"/>
      <c r="AJ18" s="132"/>
      <c r="AK18" s="135">
        <f t="shared" si="9"/>
        <v>10</v>
      </c>
    </row>
    <row r="19" spans="2:37" ht="18" customHeight="1">
      <c r="B19" s="39">
        <v>14</v>
      </c>
      <c r="C19" s="180" t="s">
        <v>143</v>
      </c>
      <c r="D19" s="132">
        <v>2</v>
      </c>
      <c r="E19" s="132">
        <v>11</v>
      </c>
      <c r="F19" s="133">
        <f t="shared" si="6"/>
        <v>13</v>
      </c>
      <c r="G19" s="132"/>
      <c r="H19" s="132"/>
      <c r="I19" s="132">
        <v>7</v>
      </c>
      <c r="J19" s="132"/>
      <c r="K19" s="132"/>
      <c r="L19" s="132"/>
      <c r="M19" s="132"/>
      <c r="N19" s="132"/>
      <c r="O19" s="132"/>
      <c r="P19" s="132">
        <v>1</v>
      </c>
      <c r="Q19" s="132"/>
      <c r="R19" s="132">
        <v>2</v>
      </c>
      <c r="S19" s="132">
        <v>2</v>
      </c>
      <c r="T19" s="149">
        <v>1</v>
      </c>
      <c r="U19" s="132"/>
      <c r="V19" s="133">
        <f t="shared" si="7"/>
        <v>13</v>
      </c>
      <c r="W19" s="132"/>
      <c r="X19" s="132"/>
      <c r="Y19" s="132"/>
      <c r="Z19" s="132"/>
      <c r="AA19" s="132"/>
      <c r="AB19" s="132">
        <v>5</v>
      </c>
      <c r="AC19" s="132">
        <v>8</v>
      </c>
      <c r="AD19" s="133">
        <f t="shared" si="8"/>
        <v>13</v>
      </c>
      <c r="AE19" s="132"/>
      <c r="AF19" s="132">
        <v>1</v>
      </c>
      <c r="AG19" s="132"/>
      <c r="AH19" s="132">
        <v>9</v>
      </c>
      <c r="AI19" s="132">
        <v>1</v>
      </c>
      <c r="AJ19" s="132">
        <v>2</v>
      </c>
      <c r="AK19" s="135">
        <f t="shared" si="9"/>
        <v>13</v>
      </c>
    </row>
    <row r="20" spans="2:37" ht="18" customHeight="1">
      <c r="B20" s="39">
        <v>15</v>
      </c>
      <c r="C20" s="184" t="s">
        <v>471</v>
      </c>
      <c r="D20" s="132">
        <v>6</v>
      </c>
      <c r="E20" s="132">
        <v>9</v>
      </c>
      <c r="F20" s="133">
        <f t="shared" si="6"/>
        <v>15</v>
      </c>
      <c r="G20" s="132"/>
      <c r="H20" s="132"/>
      <c r="I20" s="132">
        <v>11</v>
      </c>
      <c r="J20" s="132"/>
      <c r="K20" s="132"/>
      <c r="L20" s="132"/>
      <c r="M20" s="132"/>
      <c r="N20" s="132"/>
      <c r="O20" s="132"/>
      <c r="P20" s="132"/>
      <c r="Q20" s="132"/>
      <c r="R20" s="132">
        <v>3</v>
      </c>
      <c r="S20" s="132">
        <v>1</v>
      </c>
      <c r="T20" s="132"/>
      <c r="U20" s="132"/>
      <c r="V20" s="133">
        <f t="shared" si="7"/>
        <v>15</v>
      </c>
      <c r="W20" s="132"/>
      <c r="X20" s="132"/>
      <c r="Y20" s="132"/>
      <c r="Z20" s="132"/>
      <c r="AA20" s="132"/>
      <c r="AB20" s="132">
        <v>6</v>
      </c>
      <c r="AC20" s="132">
        <v>9</v>
      </c>
      <c r="AD20" s="133">
        <f t="shared" si="8"/>
        <v>15</v>
      </c>
      <c r="AE20" s="132">
        <v>1</v>
      </c>
      <c r="AF20" s="132">
        <v>3</v>
      </c>
      <c r="AG20" s="132">
        <v>4</v>
      </c>
      <c r="AH20" s="132">
        <v>6</v>
      </c>
      <c r="AI20" s="132"/>
      <c r="AJ20" s="132">
        <v>1</v>
      </c>
      <c r="AK20" s="135">
        <f t="shared" si="9"/>
        <v>15</v>
      </c>
    </row>
    <row r="21" spans="2:37" ht="18" customHeight="1" thickBot="1">
      <c r="B21" s="188">
        <v>16</v>
      </c>
      <c r="C21" s="185" t="s">
        <v>145</v>
      </c>
      <c r="D21" s="189"/>
      <c r="E21" s="189"/>
      <c r="F21" s="150">
        <f t="shared" si="6"/>
        <v>0</v>
      </c>
      <c r="G21" s="189"/>
      <c r="H21" s="189"/>
      <c r="I21" s="189"/>
      <c r="J21" s="189"/>
      <c r="K21" s="189"/>
      <c r="L21" s="189"/>
      <c r="M21" s="189"/>
      <c r="N21" s="189"/>
      <c r="O21" s="189"/>
      <c r="P21" s="189"/>
      <c r="Q21" s="189"/>
      <c r="R21" s="189"/>
      <c r="S21" s="189"/>
      <c r="T21" s="189"/>
      <c r="U21" s="189"/>
      <c r="V21" s="150">
        <f t="shared" si="7"/>
        <v>0</v>
      </c>
      <c r="W21" s="189"/>
      <c r="X21" s="189"/>
      <c r="Y21" s="189"/>
      <c r="Z21" s="189"/>
      <c r="AA21" s="189"/>
      <c r="AB21" s="189"/>
      <c r="AC21" s="189"/>
      <c r="AD21" s="150">
        <f t="shared" si="8"/>
        <v>0</v>
      </c>
      <c r="AE21" s="189"/>
      <c r="AF21" s="189"/>
      <c r="AG21" s="189"/>
      <c r="AH21" s="189"/>
      <c r="AI21" s="189"/>
      <c r="AJ21" s="189"/>
      <c r="AK21" s="151">
        <f t="shared" si="9"/>
        <v>0</v>
      </c>
    </row>
  </sheetData>
  <mergeCells count="7">
    <mergeCell ref="X3:AD3"/>
    <mergeCell ref="AE3:AK3"/>
    <mergeCell ref="B1:R1"/>
    <mergeCell ref="B3:B4"/>
    <mergeCell ref="C3:C4"/>
    <mergeCell ref="D3:F3"/>
    <mergeCell ref="G3:V3"/>
  </mergeCells>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E109"/>
  <sheetViews>
    <sheetView zoomScale="115" zoomScaleNormal="115" workbookViewId="0">
      <selection activeCell="C23" sqref="C23"/>
    </sheetView>
  </sheetViews>
  <sheetFormatPr defaultRowHeight="16.5"/>
  <cols>
    <col min="1" max="1" width="3.625" style="10" customWidth="1"/>
    <col min="2" max="2" width="5" style="10" customWidth="1"/>
    <col min="3" max="3" width="28.25" style="10" customWidth="1"/>
    <col min="4" max="8" width="4.125" style="10" customWidth="1"/>
    <col min="9" max="9" width="4.625" style="10" customWidth="1"/>
    <col min="10" max="14" width="4.125" style="10" customWidth="1"/>
    <col min="15" max="15" width="4.625" style="10" customWidth="1"/>
    <col min="16" max="20" width="4.125" style="10" customWidth="1"/>
    <col min="21" max="21" width="4.625" style="10" customWidth="1"/>
    <col min="22" max="26" width="4.125" style="10" customWidth="1"/>
    <col min="27" max="27" width="4.625" style="10" customWidth="1"/>
    <col min="28" max="32" width="4.125" style="10" customWidth="1"/>
    <col min="33" max="33" width="4.625" style="10" customWidth="1"/>
    <col min="34" max="38" width="4.125" style="10" customWidth="1"/>
    <col min="39" max="39" width="4.625" style="10" customWidth="1"/>
    <col min="40" max="44" width="4.125" style="10" customWidth="1"/>
    <col min="45" max="45" width="4.625" style="10" customWidth="1"/>
    <col min="46" max="50" width="4.125" style="10" customWidth="1"/>
    <col min="51" max="51" width="4.625" style="10" customWidth="1"/>
    <col min="52" max="56" width="4.125" style="10" customWidth="1"/>
    <col min="57" max="57" width="4.625" style="10" customWidth="1"/>
    <col min="58" max="16384" width="9" style="10"/>
  </cols>
  <sheetData>
    <row r="1" spans="2:57" ht="45" customHeight="1">
      <c r="B1" s="249" t="s">
        <v>66</v>
      </c>
      <c r="C1" s="249"/>
      <c r="D1" s="249"/>
      <c r="E1" s="249"/>
      <c r="F1" s="249"/>
      <c r="G1" s="249"/>
      <c r="H1" s="249"/>
      <c r="I1" s="249"/>
      <c r="J1" s="249"/>
      <c r="K1" s="249"/>
      <c r="L1" s="249"/>
      <c r="M1" s="249"/>
      <c r="N1" s="249"/>
      <c r="O1" s="249"/>
      <c r="P1" s="249"/>
      <c r="Q1" s="249"/>
      <c r="R1" s="249"/>
      <c r="S1" s="249"/>
      <c r="T1" s="249"/>
      <c r="U1" s="249"/>
      <c r="V1" s="249"/>
      <c r="W1" s="249"/>
      <c r="X1" s="249"/>
      <c r="Y1" s="249"/>
      <c r="Z1" s="249"/>
      <c r="AA1" s="249"/>
      <c r="AB1" s="249"/>
      <c r="AC1" s="249"/>
      <c r="AD1" s="249"/>
      <c r="AE1" s="249"/>
      <c r="AF1" s="249"/>
      <c r="AG1" s="249"/>
      <c r="AH1" s="249"/>
      <c r="AI1" s="249"/>
      <c r="AJ1" s="249"/>
      <c r="AK1" s="249"/>
      <c r="AL1" s="249"/>
      <c r="AM1" s="249"/>
      <c r="AN1" s="249"/>
      <c r="AO1" s="249"/>
      <c r="AP1" s="249"/>
      <c r="AQ1" s="249"/>
      <c r="AR1" s="249"/>
      <c r="AS1" s="249"/>
    </row>
    <row r="2" spans="2:57" ht="30" customHeight="1" thickBot="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row>
    <row r="3" spans="2:57" ht="24.75" customHeight="1">
      <c r="B3" s="246" t="s">
        <v>33</v>
      </c>
      <c r="C3" s="243" t="s">
        <v>63</v>
      </c>
      <c r="D3" s="243" t="s">
        <v>84</v>
      </c>
      <c r="E3" s="243"/>
      <c r="F3" s="243"/>
      <c r="G3" s="243"/>
      <c r="H3" s="243"/>
      <c r="I3" s="243"/>
      <c r="J3" s="243" t="s">
        <v>85</v>
      </c>
      <c r="K3" s="243"/>
      <c r="L3" s="243"/>
      <c r="M3" s="243"/>
      <c r="N3" s="243"/>
      <c r="O3" s="243"/>
      <c r="P3" s="243" t="s">
        <v>86</v>
      </c>
      <c r="Q3" s="243"/>
      <c r="R3" s="243"/>
      <c r="S3" s="243"/>
      <c r="T3" s="243"/>
      <c r="U3" s="243"/>
      <c r="V3" s="243" t="s">
        <v>87</v>
      </c>
      <c r="W3" s="243"/>
      <c r="X3" s="243"/>
      <c r="Y3" s="243"/>
      <c r="Z3" s="243"/>
      <c r="AA3" s="243"/>
      <c r="AB3" s="243" t="s">
        <v>37</v>
      </c>
      <c r="AC3" s="243"/>
      <c r="AD3" s="243"/>
      <c r="AE3" s="243"/>
      <c r="AF3" s="243"/>
      <c r="AG3" s="243"/>
      <c r="AH3" s="243" t="s">
        <v>88</v>
      </c>
      <c r="AI3" s="243"/>
      <c r="AJ3" s="243"/>
      <c r="AK3" s="243"/>
      <c r="AL3" s="243"/>
      <c r="AM3" s="243"/>
      <c r="AN3" s="243" t="s">
        <v>81</v>
      </c>
      <c r="AO3" s="243"/>
      <c r="AP3" s="243"/>
      <c r="AQ3" s="243"/>
      <c r="AR3" s="243"/>
      <c r="AS3" s="243"/>
      <c r="AT3" s="243" t="s">
        <v>82</v>
      </c>
      <c r="AU3" s="243"/>
      <c r="AV3" s="243"/>
      <c r="AW3" s="243"/>
      <c r="AX3" s="243"/>
      <c r="AY3" s="243"/>
      <c r="AZ3" s="243" t="s">
        <v>83</v>
      </c>
      <c r="BA3" s="243"/>
      <c r="BB3" s="243"/>
      <c r="BC3" s="243"/>
      <c r="BD3" s="243"/>
      <c r="BE3" s="244"/>
    </row>
    <row r="4" spans="2:57" ht="24.75" customHeight="1" thickBot="1">
      <c r="B4" s="247"/>
      <c r="C4" s="248"/>
      <c r="D4" s="12" t="s">
        <v>117</v>
      </c>
      <c r="E4" s="12" t="s">
        <v>36</v>
      </c>
      <c r="F4" s="13" t="s">
        <v>35</v>
      </c>
      <c r="G4" s="12" t="s">
        <v>54</v>
      </c>
      <c r="H4" s="12" t="s">
        <v>53</v>
      </c>
      <c r="I4" s="13" t="s">
        <v>4</v>
      </c>
      <c r="J4" s="12" t="s">
        <v>55</v>
      </c>
      <c r="K4" s="12" t="s">
        <v>36</v>
      </c>
      <c r="L4" s="13" t="s">
        <v>35</v>
      </c>
      <c r="M4" s="12" t="s">
        <v>54</v>
      </c>
      <c r="N4" s="12" t="s">
        <v>53</v>
      </c>
      <c r="O4" s="13" t="s">
        <v>4</v>
      </c>
      <c r="P4" s="12" t="s">
        <v>55</v>
      </c>
      <c r="Q4" s="12" t="s">
        <v>36</v>
      </c>
      <c r="R4" s="13" t="s">
        <v>35</v>
      </c>
      <c r="S4" s="12" t="s">
        <v>54</v>
      </c>
      <c r="T4" s="12" t="s">
        <v>53</v>
      </c>
      <c r="U4" s="13" t="s">
        <v>4</v>
      </c>
      <c r="V4" s="12" t="s">
        <v>55</v>
      </c>
      <c r="W4" s="12" t="s">
        <v>36</v>
      </c>
      <c r="X4" s="13" t="s">
        <v>35</v>
      </c>
      <c r="Y4" s="12" t="s">
        <v>54</v>
      </c>
      <c r="Z4" s="12" t="s">
        <v>53</v>
      </c>
      <c r="AA4" s="13" t="s">
        <v>4</v>
      </c>
      <c r="AB4" s="12" t="s">
        <v>55</v>
      </c>
      <c r="AC4" s="12" t="s">
        <v>36</v>
      </c>
      <c r="AD4" s="13" t="s">
        <v>35</v>
      </c>
      <c r="AE4" s="12" t="s">
        <v>54</v>
      </c>
      <c r="AF4" s="12" t="s">
        <v>53</v>
      </c>
      <c r="AG4" s="13" t="s">
        <v>4</v>
      </c>
      <c r="AH4" s="12" t="s">
        <v>55</v>
      </c>
      <c r="AI4" s="12" t="s">
        <v>36</v>
      </c>
      <c r="AJ4" s="13" t="s">
        <v>35</v>
      </c>
      <c r="AK4" s="12" t="s">
        <v>54</v>
      </c>
      <c r="AL4" s="12" t="s">
        <v>53</v>
      </c>
      <c r="AM4" s="13" t="s">
        <v>4</v>
      </c>
      <c r="AN4" s="12" t="s">
        <v>55</v>
      </c>
      <c r="AO4" s="12" t="s">
        <v>36</v>
      </c>
      <c r="AP4" s="13" t="s">
        <v>35</v>
      </c>
      <c r="AQ4" s="12" t="s">
        <v>54</v>
      </c>
      <c r="AR4" s="12" t="s">
        <v>53</v>
      </c>
      <c r="AS4" s="13" t="s">
        <v>4</v>
      </c>
      <c r="AT4" s="12" t="s">
        <v>55</v>
      </c>
      <c r="AU4" s="12" t="s">
        <v>36</v>
      </c>
      <c r="AV4" s="13" t="s">
        <v>35</v>
      </c>
      <c r="AW4" s="12" t="s">
        <v>54</v>
      </c>
      <c r="AX4" s="12" t="s">
        <v>53</v>
      </c>
      <c r="AY4" s="13" t="s">
        <v>4</v>
      </c>
      <c r="AZ4" s="12" t="s">
        <v>55</v>
      </c>
      <c r="BA4" s="12" t="s">
        <v>36</v>
      </c>
      <c r="BB4" s="13" t="s">
        <v>35</v>
      </c>
      <c r="BC4" s="12" t="s">
        <v>54</v>
      </c>
      <c r="BD4" s="12" t="s">
        <v>53</v>
      </c>
      <c r="BE4" s="34" t="s">
        <v>4</v>
      </c>
    </row>
    <row r="5" spans="2:57" ht="15" customHeight="1" thickBot="1">
      <c r="B5" s="46"/>
      <c r="C5" s="47" t="s">
        <v>75</v>
      </c>
      <c r="D5" s="14">
        <f t="shared" ref="D5:AI5" si="0">SUM(D6:D20)</f>
        <v>176</v>
      </c>
      <c r="E5" s="14">
        <f t="shared" si="0"/>
        <v>32</v>
      </c>
      <c r="F5" s="14">
        <f t="shared" si="0"/>
        <v>5</v>
      </c>
      <c r="G5" s="14">
        <f t="shared" si="0"/>
        <v>1</v>
      </c>
      <c r="H5" s="14">
        <f t="shared" si="0"/>
        <v>1</v>
      </c>
      <c r="I5" s="14">
        <f t="shared" si="0"/>
        <v>215</v>
      </c>
      <c r="J5" s="14">
        <f t="shared" si="0"/>
        <v>168</v>
      </c>
      <c r="K5" s="14">
        <f t="shared" si="0"/>
        <v>38</v>
      </c>
      <c r="L5" s="14">
        <f t="shared" si="0"/>
        <v>5</v>
      </c>
      <c r="M5" s="14">
        <f t="shared" si="0"/>
        <v>3</v>
      </c>
      <c r="N5" s="14">
        <f t="shared" si="0"/>
        <v>1</v>
      </c>
      <c r="O5" s="14">
        <f t="shared" si="0"/>
        <v>215</v>
      </c>
      <c r="P5" s="14">
        <f t="shared" si="0"/>
        <v>166</v>
      </c>
      <c r="Q5" s="14">
        <f t="shared" si="0"/>
        <v>41</v>
      </c>
      <c r="R5" s="14">
        <f t="shared" si="0"/>
        <v>6</v>
      </c>
      <c r="S5" s="14">
        <f t="shared" si="0"/>
        <v>2</v>
      </c>
      <c r="T5" s="14">
        <f t="shared" si="0"/>
        <v>0</v>
      </c>
      <c r="U5" s="14">
        <f t="shared" si="0"/>
        <v>215</v>
      </c>
      <c r="V5" s="14">
        <f t="shared" si="0"/>
        <v>132</v>
      </c>
      <c r="W5" s="14">
        <f t="shared" si="0"/>
        <v>54</v>
      </c>
      <c r="X5" s="14">
        <f t="shared" si="0"/>
        <v>17</v>
      </c>
      <c r="Y5" s="14">
        <f t="shared" si="0"/>
        <v>8</v>
      </c>
      <c r="Z5" s="14">
        <f t="shared" si="0"/>
        <v>4</v>
      </c>
      <c r="AA5" s="14">
        <f t="shared" si="0"/>
        <v>215</v>
      </c>
      <c r="AB5" s="14">
        <f t="shared" si="0"/>
        <v>142</v>
      </c>
      <c r="AC5" s="14">
        <f t="shared" si="0"/>
        <v>52</v>
      </c>
      <c r="AD5" s="14">
        <f t="shared" si="0"/>
        <v>18</v>
      </c>
      <c r="AE5" s="14">
        <f t="shared" si="0"/>
        <v>3</v>
      </c>
      <c r="AF5" s="14">
        <f t="shared" si="0"/>
        <v>0</v>
      </c>
      <c r="AG5" s="14">
        <f t="shared" si="0"/>
        <v>215</v>
      </c>
      <c r="AH5" s="14">
        <f t="shared" si="0"/>
        <v>158</v>
      </c>
      <c r="AI5" s="14">
        <f t="shared" si="0"/>
        <v>45</v>
      </c>
      <c r="AJ5" s="14">
        <f t="shared" ref="AJ5:BE5" si="1">SUM(AJ6:AJ20)</f>
        <v>11</v>
      </c>
      <c r="AK5" s="14">
        <f t="shared" si="1"/>
        <v>1</v>
      </c>
      <c r="AL5" s="14">
        <f t="shared" si="1"/>
        <v>0</v>
      </c>
      <c r="AM5" s="14">
        <f t="shared" si="1"/>
        <v>215</v>
      </c>
      <c r="AN5" s="14">
        <f t="shared" si="1"/>
        <v>145</v>
      </c>
      <c r="AO5" s="14">
        <f t="shared" si="1"/>
        <v>48</v>
      </c>
      <c r="AP5" s="14">
        <f t="shared" si="1"/>
        <v>17</v>
      </c>
      <c r="AQ5" s="14">
        <f t="shared" si="1"/>
        <v>5</v>
      </c>
      <c r="AR5" s="14">
        <f t="shared" si="1"/>
        <v>0</v>
      </c>
      <c r="AS5" s="14">
        <f t="shared" si="1"/>
        <v>215</v>
      </c>
      <c r="AT5" s="14">
        <f t="shared" si="1"/>
        <v>125</v>
      </c>
      <c r="AU5" s="14">
        <f t="shared" si="1"/>
        <v>53</v>
      </c>
      <c r="AV5" s="14">
        <f t="shared" si="1"/>
        <v>34</v>
      </c>
      <c r="AW5" s="14">
        <f t="shared" si="1"/>
        <v>2</v>
      </c>
      <c r="AX5" s="14">
        <f t="shared" si="1"/>
        <v>1</v>
      </c>
      <c r="AY5" s="14">
        <f t="shared" si="1"/>
        <v>215</v>
      </c>
      <c r="AZ5" s="14">
        <f t="shared" si="1"/>
        <v>141</v>
      </c>
      <c r="BA5" s="14">
        <f t="shared" si="1"/>
        <v>55</v>
      </c>
      <c r="BB5" s="14">
        <f t="shared" si="1"/>
        <v>17</v>
      </c>
      <c r="BC5" s="14">
        <f t="shared" si="1"/>
        <v>0</v>
      </c>
      <c r="BD5" s="14">
        <f t="shared" si="1"/>
        <v>2</v>
      </c>
      <c r="BE5" s="35">
        <f t="shared" si="1"/>
        <v>215</v>
      </c>
    </row>
    <row r="6" spans="2:57" ht="16.5" customHeight="1">
      <c r="B6" s="38">
        <v>1</v>
      </c>
      <c r="C6" s="183" t="s">
        <v>132</v>
      </c>
      <c r="D6" s="142">
        <v>10</v>
      </c>
      <c r="E6" s="142">
        <v>3</v>
      </c>
      <c r="F6" s="142"/>
      <c r="G6" s="142"/>
      <c r="H6" s="142"/>
      <c r="I6" s="143">
        <f t="shared" ref="I6:I16" si="2">SUM(D6:H6)</f>
        <v>13</v>
      </c>
      <c r="J6" s="142">
        <v>11</v>
      </c>
      <c r="K6" s="142">
        <v>2</v>
      </c>
      <c r="L6" s="142"/>
      <c r="M6" s="142"/>
      <c r="N6" s="142"/>
      <c r="O6" s="143">
        <f t="shared" ref="O6:O16" si="3">SUM(J6:N6)</f>
        <v>13</v>
      </c>
      <c r="P6" s="142">
        <v>10</v>
      </c>
      <c r="Q6" s="142">
        <v>3</v>
      </c>
      <c r="R6" s="142"/>
      <c r="S6" s="142"/>
      <c r="T6" s="142"/>
      <c r="U6" s="143">
        <f t="shared" ref="U6:U16" si="4">SUM(P6:T6)</f>
        <v>13</v>
      </c>
      <c r="V6" s="142">
        <v>4</v>
      </c>
      <c r="W6" s="142">
        <v>4</v>
      </c>
      <c r="X6" s="142">
        <v>3</v>
      </c>
      <c r="Y6" s="142">
        <v>2</v>
      </c>
      <c r="Z6" s="142"/>
      <c r="AA6" s="143">
        <f t="shared" ref="AA6:AA16" si="5">SUM(V6:Z6)</f>
        <v>13</v>
      </c>
      <c r="AB6" s="142">
        <v>7</v>
      </c>
      <c r="AC6" s="142">
        <v>5</v>
      </c>
      <c r="AD6" s="142">
        <v>1</v>
      </c>
      <c r="AE6" s="142"/>
      <c r="AF6" s="142"/>
      <c r="AG6" s="143">
        <f t="shared" ref="AG6:AG16" si="6">SUM(AB6:AF6)</f>
        <v>13</v>
      </c>
      <c r="AH6" s="142">
        <v>9</v>
      </c>
      <c r="AI6" s="142">
        <v>3</v>
      </c>
      <c r="AJ6" s="142">
        <v>1</v>
      </c>
      <c r="AK6" s="142"/>
      <c r="AL6" s="142"/>
      <c r="AM6" s="143">
        <f t="shared" ref="AM6:AM16" si="7">SUM(AH6:AL6)</f>
        <v>13</v>
      </c>
      <c r="AN6" s="142">
        <v>9</v>
      </c>
      <c r="AO6" s="142">
        <v>2</v>
      </c>
      <c r="AP6" s="142">
        <v>2</v>
      </c>
      <c r="AQ6" s="142"/>
      <c r="AR6" s="142"/>
      <c r="AS6" s="143">
        <f t="shared" ref="AS6:AS16" si="8">SUM(AN6:AR6)</f>
        <v>13</v>
      </c>
      <c r="AT6" s="142">
        <v>5</v>
      </c>
      <c r="AU6" s="142">
        <v>5</v>
      </c>
      <c r="AV6" s="142">
        <v>3</v>
      </c>
      <c r="AW6" s="142"/>
      <c r="AX6" s="142"/>
      <c r="AY6" s="143">
        <f t="shared" ref="AY6:AY14" si="9">SUM(AT6:AX6)</f>
        <v>13</v>
      </c>
      <c r="AZ6" s="142">
        <v>6</v>
      </c>
      <c r="BA6" s="142">
        <v>6</v>
      </c>
      <c r="BB6" s="142">
        <v>1</v>
      </c>
      <c r="BC6" s="142"/>
      <c r="BD6" s="142"/>
      <c r="BE6" s="144">
        <f t="shared" ref="BE6:BE14" si="10">SUM(AZ6:BD6)</f>
        <v>13</v>
      </c>
    </row>
    <row r="7" spans="2:57" ht="16.5" customHeight="1">
      <c r="B7" s="39">
        <v>2</v>
      </c>
      <c r="C7" s="181" t="s">
        <v>134</v>
      </c>
      <c r="D7" s="138">
        <v>6</v>
      </c>
      <c r="E7" s="138"/>
      <c r="F7" s="138"/>
      <c r="G7" s="138"/>
      <c r="H7" s="138"/>
      <c r="I7" s="139">
        <f t="shared" si="2"/>
        <v>6</v>
      </c>
      <c r="J7" s="138">
        <v>5</v>
      </c>
      <c r="K7" s="138">
        <v>1</v>
      </c>
      <c r="L7" s="138"/>
      <c r="M7" s="138"/>
      <c r="N7" s="138"/>
      <c r="O7" s="139">
        <f t="shared" si="3"/>
        <v>6</v>
      </c>
      <c r="P7" s="138">
        <v>4</v>
      </c>
      <c r="Q7" s="138">
        <v>2</v>
      </c>
      <c r="R7" s="138"/>
      <c r="S7" s="138"/>
      <c r="T7" s="138"/>
      <c r="U7" s="139">
        <f t="shared" si="4"/>
        <v>6</v>
      </c>
      <c r="V7" s="138">
        <v>3</v>
      </c>
      <c r="W7" s="138">
        <v>3</v>
      </c>
      <c r="X7" s="138"/>
      <c r="Y7" s="138"/>
      <c r="Z7" s="138"/>
      <c r="AA7" s="139">
        <f t="shared" si="5"/>
        <v>6</v>
      </c>
      <c r="AB7" s="138">
        <v>4</v>
      </c>
      <c r="AC7" s="138">
        <v>2</v>
      </c>
      <c r="AD7" s="138"/>
      <c r="AE7" s="138"/>
      <c r="AF7" s="138"/>
      <c r="AG7" s="139">
        <f t="shared" si="6"/>
        <v>6</v>
      </c>
      <c r="AH7" s="138">
        <v>4</v>
      </c>
      <c r="AI7" s="138">
        <v>2</v>
      </c>
      <c r="AJ7" s="138"/>
      <c r="AK7" s="138"/>
      <c r="AL7" s="138"/>
      <c r="AM7" s="139">
        <f t="shared" si="7"/>
        <v>6</v>
      </c>
      <c r="AN7" s="138">
        <v>5</v>
      </c>
      <c r="AO7" s="138">
        <v>1</v>
      </c>
      <c r="AP7" s="138"/>
      <c r="AQ7" s="138"/>
      <c r="AR7" s="138"/>
      <c r="AS7" s="139">
        <f t="shared" si="8"/>
        <v>6</v>
      </c>
      <c r="AT7" s="138">
        <v>3</v>
      </c>
      <c r="AU7" s="138">
        <v>3</v>
      </c>
      <c r="AV7" s="138"/>
      <c r="AW7" s="138"/>
      <c r="AX7" s="138"/>
      <c r="AY7" s="139">
        <f t="shared" si="9"/>
        <v>6</v>
      </c>
      <c r="AZ7" s="138">
        <v>5</v>
      </c>
      <c r="BA7" s="138">
        <v>1</v>
      </c>
      <c r="BB7" s="138"/>
      <c r="BC7" s="138"/>
      <c r="BD7" s="138"/>
      <c r="BE7" s="140">
        <f t="shared" si="10"/>
        <v>6</v>
      </c>
    </row>
    <row r="8" spans="2:57" ht="16.5" customHeight="1">
      <c r="B8" s="39">
        <v>3</v>
      </c>
      <c r="C8" s="181" t="s">
        <v>465</v>
      </c>
      <c r="D8" s="138">
        <v>7</v>
      </c>
      <c r="E8" s="138">
        <v>4</v>
      </c>
      <c r="F8" s="138"/>
      <c r="G8" s="138"/>
      <c r="H8" s="138"/>
      <c r="I8" s="139">
        <f t="shared" si="2"/>
        <v>11</v>
      </c>
      <c r="J8" s="138">
        <v>7</v>
      </c>
      <c r="K8" s="138">
        <v>4</v>
      </c>
      <c r="L8" s="138"/>
      <c r="M8" s="138"/>
      <c r="N8" s="138"/>
      <c r="O8" s="139">
        <f t="shared" si="3"/>
        <v>11</v>
      </c>
      <c r="P8" s="138">
        <v>6</v>
      </c>
      <c r="Q8" s="138">
        <v>5</v>
      </c>
      <c r="R8" s="138"/>
      <c r="S8" s="138"/>
      <c r="T8" s="138"/>
      <c r="U8" s="139">
        <f t="shared" si="4"/>
        <v>11</v>
      </c>
      <c r="V8" s="138">
        <v>4</v>
      </c>
      <c r="W8" s="138">
        <v>6</v>
      </c>
      <c r="X8" s="138">
        <v>1</v>
      </c>
      <c r="Y8" s="138"/>
      <c r="Z8" s="138"/>
      <c r="AA8" s="139">
        <f t="shared" si="5"/>
        <v>11</v>
      </c>
      <c r="AB8" s="138">
        <v>7</v>
      </c>
      <c r="AC8" s="138">
        <v>3</v>
      </c>
      <c r="AD8" s="138">
        <v>1</v>
      </c>
      <c r="AE8" s="138"/>
      <c r="AF8" s="138"/>
      <c r="AG8" s="139">
        <f t="shared" si="6"/>
        <v>11</v>
      </c>
      <c r="AH8" s="138">
        <v>7</v>
      </c>
      <c r="AI8" s="138">
        <v>4</v>
      </c>
      <c r="AJ8" s="138"/>
      <c r="AK8" s="138"/>
      <c r="AL8" s="138"/>
      <c r="AM8" s="139">
        <f t="shared" si="7"/>
        <v>11</v>
      </c>
      <c r="AN8" s="138">
        <v>7</v>
      </c>
      <c r="AO8" s="138">
        <v>4</v>
      </c>
      <c r="AP8" s="138"/>
      <c r="AQ8" s="138"/>
      <c r="AR8" s="138"/>
      <c r="AS8" s="139">
        <f t="shared" si="8"/>
        <v>11</v>
      </c>
      <c r="AT8" s="138">
        <v>6</v>
      </c>
      <c r="AU8" s="138">
        <v>1</v>
      </c>
      <c r="AV8" s="138">
        <v>3</v>
      </c>
      <c r="AW8" s="138">
        <v>1</v>
      </c>
      <c r="AX8" s="138"/>
      <c r="AY8" s="139">
        <f t="shared" si="9"/>
        <v>11</v>
      </c>
      <c r="AZ8" s="138">
        <v>5</v>
      </c>
      <c r="BA8" s="138">
        <v>6</v>
      </c>
      <c r="BB8" s="138"/>
      <c r="BC8" s="138"/>
      <c r="BD8" s="138"/>
      <c r="BE8" s="140">
        <f t="shared" si="10"/>
        <v>11</v>
      </c>
    </row>
    <row r="9" spans="2:57" ht="16.5" customHeight="1">
      <c r="B9" s="39">
        <v>4</v>
      </c>
      <c r="C9" s="181" t="s">
        <v>250</v>
      </c>
      <c r="D9" s="138">
        <v>6</v>
      </c>
      <c r="E9" s="138">
        <v>6</v>
      </c>
      <c r="F9" s="138">
        <v>1</v>
      </c>
      <c r="G9" s="138"/>
      <c r="H9" s="138"/>
      <c r="I9" s="139">
        <f t="shared" si="2"/>
        <v>13</v>
      </c>
      <c r="J9" s="138">
        <v>7</v>
      </c>
      <c r="K9" s="138">
        <v>6</v>
      </c>
      <c r="L9" s="138"/>
      <c r="M9" s="138"/>
      <c r="N9" s="138"/>
      <c r="O9" s="139">
        <f t="shared" si="3"/>
        <v>13</v>
      </c>
      <c r="P9" s="138">
        <v>6</v>
      </c>
      <c r="Q9" s="138">
        <v>6</v>
      </c>
      <c r="R9" s="138">
        <v>1</v>
      </c>
      <c r="S9" s="138"/>
      <c r="T9" s="138"/>
      <c r="U9" s="139">
        <f t="shared" si="4"/>
        <v>13</v>
      </c>
      <c r="V9" s="138">
        <v>5</v>
      </c>
      <c r="W9" s="138">
        <v>7</v>
      </c>
      <c r="X9" s="138"/>
      <c r="Y9" s="138">
        <v>1</v>
      </c>
      <c r="Z9" s="138"/>
      <c r="AA9" s="139">
        <f t="shared" si="5"/>
        <v>13</v>
      </c>
      <c r="AB9" s="138">
        <v>4</v>
      </c>
      <c r="AC9" s="138">
        <v>6</v>
      </c>
      <c r="AD9" s="138">
        <v>2</v>
      </c>
      <c r="AE9" s="138">
        <v>1</v>
      </c>
      <c r="AF9" s="138"/>
      <c r="AG9" s="139">
        <f t="shared" si="6"/>
        <v>13</v>
      </c>
      <c r="AH9" s="138">
        <v>6</v>
      </c>
      <c r="AI9" s="138">
        <v>5</v>
      </c>
      <c r="AJ9" s="138">
        <v>2</v>
      </c>
      <c r="AK9" s="138"/>
      <c r="AL9" s="138"/>
      <c r="AM9" s="139">
        <f t="shared" si="7"/>
        <v>13</v>
      </c>
      <c r="AN9" s="138">
        <v>4</v>
      </c>
      <c r="AO9" s="138">
        <v>6</v>
      </c>
      <c r="AP9" s="138">
        <v>3</v>
      </c>
      <c r="AQ9" s="138"/>
      <c r="AR9" s="138"/>
      <c r="AS9" s="139">
        <f t="shared" si="8"/>
        <v>13</v>
      </c>
      <c r="AT9" s="138">
        <v>4</v>
      </c>
      <c r="AU9" s="138">
        <v>6</v>
      </c>
      <c r="AV9" s="138">
        <v>3</v>
      </c>
      <c r="AW9" s="138"/>
      <c r="AX9" s="138"/>
      <c r="AY9" s="139">
        <f t="shared" si="9"/>
        <v>13</v>
      </c>
      <c r="AZ9" s="138">
        <v>6</v>
      </c>
      <c r="BA9" s="138">
        <v>6</v>
      </c>
      <c r="BB9" s="138">
        <v>1</v>
      </c>
      <c r="BC9" s="138"/>
      <c r="BD9" s="138"/>
      <c r="BE9" s="140">
        <f t="shared" si="10"/>
        <v>13</v>
      </c>
    </row>
    <row r="10" spans="2:57" ht="16.5" customHeight="1">
      <c r="B10" s="39">
        <v>5</v>
      </c>
      <c r="C10" s="181" t="s">
        <v>138</v>
      </c>
      <c r="D10" s="138">
        <v>13</v>
      </c>
      <c r="E10" s="138"/>
      <c r="F10" s="138"/>
      <c r="G10" s="138"/>
      <c r="H10" s="138"/>
      <c r="I10" s="139">
        <f t="shared" si="2"/>
        <v>13</v>
      </c>
      <c r="J10" s="138">
        <v>13</v>
      </c>
      <c r="K10" s="138"/>
      <c r="L10" s="138"/>
      <c r="M10" s="138"/>
      <c r="N10" s="138"/>
      <c r="O10" s="139">
        <f t="shared" si="3"/>
        <v>13</v>
      </c>
      <c r="P10" s="138">
        <v>13</v>
      </c>
      <c r="Q10" s="138"/>
      <c r="R10" s="138"/>
      <c r="S10" s="138"/>
      <c r="T10" s="138"/>
      <c r="U10" s="139">
        <f t="shared" si="4"/>
        <v>13</v>
      </c>
      <c r="V10" s="138">
        <v>13</v>
      </c>
      <c r="W10" s="138"/>
      <c r="X10" s="138"/>
      <c r="Y10" s="138"/>
      <c r="Z10" s="138"/>
      <c r="AA10" s="139">
        <f t="shared" si="5"/>
        <v>13</v>
      </c>
      <c r="AB10" s="138">
        <v>13</v>
      </c>
      <c r="AC10" s="138"/>
      <c r="AD10" s="138"/>
      <c r="AE10" s="138"/>
      <c r="AF10" s="138"/>
      <c r="AG10" s="139">
        <f t="shared" si="6"/>
        <v>13</v>
      </c>
      <c r="AH10" s="138">
        <v>13</v>
      </c>
      <c r="AI10" s="138"/>
      <c r="AJ10" s="138"/>
      <c r="AK10" s="138"/>
      <c r="AL10" s="138"/>
      <c r="AM10" s="139">
        <f t="shared" si="7"/>
        <v>13</v>
      </c>
      <c r="AN10" s="138">
        <v>13</v>
      </c>
      <c r="AO10" s="138"/>
      <c r="AP10" s="138"/>
      <c r="AQ10" s="138"/>
      <c r="AR10" s="138"/>
      <c r="AS10" s="139">
        <f t="shared" si="8"/>
        <v>13</v>
      </c>
      <c r="AT10" s="138">
        <v>13</v>
      </c>
      <c r="AU10" s="138"/>
      <c r="AV10" s="138"/>
      <c r="AW10" s="138"/>
      <c r="AX10" s="138"/>
      <c r="AY10" s="139">
        <f t="shared" si="9"/>
        <v>13</v>
      </c>
      <c r="AZ10" s="138">
        <v>12</v>
      </c>
      <c r="BA10" s="138">
        <v>1</v>
      </c>
      <c r="BB10" s="138"/>
      <c r="BC10" s="138"/>
      <c r="BD10" s="138"/>
      <c r="BE10" s="140">
        <f t="shared" si="10"/>
        <v>13</v>
      </c>
    </row>
    <row r="11" spans="2:57" ht="16.5" customHeight="1">
      <c r="B11" s="39">
        <v>6</v>
      </c>
      <c r="C11" s="181" t="s">
        <v>139</v>
      </c>
      <c r="D11" s="138">
        <v>15</v>
      </c>
      <c r="E11" s="138"/>
      <c r="F11" s="138"/>
      <c r="G11" s="138"/>
      <c r="H11" s="138"/>
      <c r="I11" s="139">
        <f t="shared" si="2"/>
        <v>15</v>
      </c>
      <c r="J11" s="138">
        <v>13</v>
      </c>
      <c r="K11" s="138">
        <v>2</v>
      </c>
      <c r="L11" s="138"/>
      <c r="M11" s="138"/>
      <c r="N11" s="138"/>
      <c r="O11" s="139">
        <f t="shared" si="3"/>
        <v>15</v>
      </c>
      <c r="P11" s="138">
        <v>14</v>
      </c>
      <c r="Q11" s="138">
        <v>1</v>
      </c>
      <c r="R11" s="138"/>
      <c r="S11" s="138"/>
      <c r="T11" s="138"/>
      <c r="U11" s="139">
        <f t="shared" si="4"/>
        <v>15</v>
      </c>
      <c r="V11" s="138">
        <v>9</v>
      </c>
      <c r="W11" s="138">
        <v>2</v>
      </c>
      <c r="X11" s="138">
        <v>1</v>
      </c>
      <c r="Y11" s="138">
        <v>1</v>
      </c>
      <c r="Z11" s="138">
        <v>2</v>
      </c>
      <c r="AA11" s="139">
        <f t="shared" si="5"/>
        <v>15</v>
      </c>
      <c r="AB11" s="138">
        <v>12</v>
      </c>
      <c r="AC11" s="138">
        <v>3</v>
      </c>
      <c r="AD11" s="138"/>
      <c r="AE11" s="138"/>
      <c r="AF11" s="138"/>
      <c r="AG11" s="139">
        <f t="shared" si="6"/>
        <v>15</v>
      </c>
      <c r="AH11" s="138">
        <v>15</v>
      </c>
      <c r="AI11" s="138"/>
      <c r="AJ11" s="138"/>
      <c r="AK11" s="138"/>
      <c r="AL11" s="138"/>
      <c r="AM11" s="139">
        <f t="shared" si="7"/>
        <v>15</v>
      </c>
      <c r="AN11" s="138">
        <v>14</v>
      </c>
      <c r="AO11" s="138">
        <v>1</v>
      </c>
      <c r="AP11" s="138"/>
      <c r="AQ11" s="138"/>
      <c r="AR11" s="138"/>
      <c r="AS11" s="139">
        <f t="shared" si="8"/>
        <v>15</v>
      </c>
      <c r="AT11" s="138">
        <v>10</v>
      </c>
      <c r="AU11" s="138">
        <v>3</v>
      </c>
      <c r="AV11" s="138">
        <v>2</v>
      </c>
      <c r="AW11" s="138"/>
      <c r="AX11" s="138"/>
      <c r="AY11" s="139">
        <f t="shared" si="9"/>
        <v>15</v>
      </c>
      <c r="AZ11" s="138">
        <v>13</v>
      </c>
      <c r="BA11" s="138">
        <v>2</v>
      </c>
      <c r="BB11" s="138"/>
      <c r="BC11" s="138"/>
      <c r="BD11" s="138"/>
      <c r="BE11" s="140">
        <f t="shared" si="10"/>
        <v>15</v>
      </c>
    </row>
    <row r="12" spans="2:57" ht="16.5" customHeight="1">
      <c r="B12" s="39">
        <v>7</v>
      </c>
      <c r="C12" s="181" t="s">
        <v>466</v>
      </c>
      <c r="D12" s="138">
        <v>20</v>
      </c>
      <c r="E12" s="138">
        <v>4</v>
      </c>
      <c r="F12" s="138">
        <v>1</v>
      </c>
      <c r="G12" s="138"/>
      <c r="H12" s="138"/>
      <c r="I12" s="139">
        <f t="shared" si="2"/>
        <v>25</v>
      </c>
      <c r="J12" s="138">
        <v>17</v>
      </c>
      <c r="K12" s="138">
        <v>6</v>
      </c>
      <c r="L12" s="138">
        <v>2</v>
      </c>
      <c r="M12" s="138"/>
      <c r="N12" s="138"/>
      <c r="O12" s="139">
        <f t="shared" si="3"/>
        <v>25</v>
      </c>
      <c r="P12" s="138">
        <v>18</v>
      </c>
      <c r="Q12" s="138">
        <v>5</v>
      </c>
      <c r="R12" s="138">
        <v>2</v>
      </c>
      <c r="S12" s="138"/>
      <c r="T12" s="138"/>
      <c r="U12" s="139">
        <f t="shared" si="4"/>
        <v>25</v>
      </c>
      <c r="V12" s="138">
        <v>15</v>
      </c>
      <c r="W12" s="138">
        <v>7</v>
      </c>
      <c r="X12" s="138">
        <v>2</v>
      </c>
      <c r="Y12" s="138">
        <v>1</v>
      </c>
      <c r="Z12" s="138"/>
      <c r="AA12" s="139">
        <f t="shared" si="5"/>
        <v>25</v>
      </c>
      <c r="AB12" s="138">
        <v>14</v>
      </c>
      <c r="AC12" s="138">
        <v>7</v>
      </c>
      <c r="AD12" s="138">
        <v>4</v>
      </c>
      <c r="AE12" s="138"/>
      <c r="AF12" s="138"/>
      <c r="AG12" s="139">
        <f>SUM(AB12:AF12)</f>
        <v>25</v>
      </c>
      <c r="AH12" s="138">
        <v>14</v>
      </c>
      <c r="AI12" s="138">
        <v>9</v>
      </c>
      <c r="AJ12" s="138">
        <v>2</v>
      </c>
      <c r="AK12" s="138"/>
      <c r="AL12" s="138"/>
      <c r="AM12" s="139">
        <f t="shared" si="7"/>
        <v>25</v>
      </c>
      <c r="AN12" s="138">
        <v>15</v>
      </c>
      <c r="AO12" s="138">
        <v>6</v>
      </c>
      <c r="AP12" s="138">
        <v>4</v>
      </c>
      <c r="AQ12" s="138"/>
      <c r="AR12" s="138"/>
      <c r="AS12" s="139">
        <f t="shared" si="8"/>
        <v>25</v>
      </c>
      <c r="AT12" s="138">
        <v>14</v>
      </c>
      <c r="AU12" s="138">
        <v>4</v>
      </c>
      <c r="AV12" s="138">
        <v>7</v>
      </c>
      <c r="AW12" s="138"/>
      <c r="AX12" s="138"/>
      <c r="AY12" s="139">
        <f t="shared" si="9"/>
        <v>25</v>
      </c>
      <c r="AZ12" s="138">
        <v>14</v>
      </c>
      <c r="BA12" s="138">
        <v>7</v>
      </c>
      <c r="BB12" s="138">
        <v>4</v>
      </c>
      <c r="BC12" s="138"/>
      <c r="BD12" s="138"/>
      <c r="BE12" s="140">
        <f t="shared" si="10"/>
        <v>25</v>
      </c>
    </row>
    <row r="13" spans="2:57" ht="16.5" customHeight="1">
      <c r="B13" s="39">
        <v>8</v>
      </c>
      <c r="C13" s="184" t="s">
        <v>467</v>
      </c>
      <c r="D13" s="138">
        <v>15</v>
      </c>
      <c r="E13" s="138">
        <v>3</v>
      </c>
      <c r="F13" s="138"/>
      <c r="G13" s="138"/>
      <c r="H13" s="138"/>
      <c r="I13" s="139">
        <f t="shared" si="2"/>
        <v>18</v>
      </c>
      <c r="J13" s="138">
        <v>15</v>
      </c>
      <c r="K13" s="138">
        <v>3</v>
      </c>
      <c r="L13" s="138"/>
      <c r="M13" s="138"/>
      <c r="N13" s="138"/>
      <c r="O13" s="139">
        <f t="shared" si="3"/>
        <v>18</v>
      </c>
      <c r="P13" s="138">
        <v>16</v>
      </c>
      <c r="Q13" s="138">
        <v>2</v>
      </c>
      <c r="R13" s="138"/>
      <c r="S13" s="138"/>
      <c r="T13" s="138"/>
      <c r="U13" s="139">
        <f t="shared" si="4"/>
        <v>18</v>
      </c>
      <c r="V13" s="138">
        <v>13</v>
      </c>
      <c r="W13" s="138">
        <v>4</v>
      </c>
      <c r="X13" s="138"/>
      <c r="Y13" s="138">
        <v>1</v>
      </c>
      <c r="Z13" s="138"/>
      <c r="AA13" s="139">
        <f t="shared" si="5"/>
        <v>18</v>
      </c>
      <c r="AB13" s="138">
        <v>13</v>
      </c>
      <c r="AC13" s="138">
        <v>5</v>
      </c>
      <c r="AD13" s="138"/>
      <c r="AE13" s="138"/>
      <c r="AF13" s="138"/>
      <c r="AG13" s="139">
        <f t="shared" si="6"/>
        <v>18</v>
      </c>
      <c r="AH13" s="138">
        <v>13</v>
      </c>
      <c r="AI13" s="138">
        <v>5</v>
      </c>
      <c r="AJ13" s="138"/>
      <c r="AK13" s="138"/>
      <c r="AL13" s="138"/>
      <c r="AM13" s="139">
        <f t="shared" si="7"/>
        <v>18</v>
      </c>
      <c r="AN13" s="138">
        <v>11</v>
      </c>
      <c r="AO13" s="138">
        <v>5</v>
      </c>
      <c r="AP13" s="138">
        <v>2</v>
      </c>
      <c r="AQ13" s="138"/>
      <c r="AR13" s="138"/>
      <c r="AS13" s="139">
        <f t="shared" si="8"/>
        <v>18</v>
      </c>
      <c r="AT13" s="138">
        <v>11</v>
      </c>
      <c r="AU13" s="138">
        <v>5</v>
      </c>
      <c r="AV13" s="138">
        <v>2</v>
      </c>
      <c r="AW13" s="138"/>
      <c r="AX13" s="138"/>
      <c r="AY13" s="139">
        <f t="shared" si="9"/>
        <v>18</v>
      </c>
      <c r="AZ13" s="138">
        <v>12</v>
      </c>
      <c r="BA13" s="138">
        <v>3</v>
      </c>
      <c r="BB13" s="138">
        <v>2</v>
      </c>
      <c r="BC13" s="138"/>
      <c r="BD13" s="138">
        <v>1</v>
      </c>
      <c r="BE13" s="140">
        <f t="shared" si="10"/>
        <v>18</v>
      </c>
    </row>
    <row r="14" spans="2:57" ht="16.5" customHeight="1">
      <c r="B14" s="39">
        <v>9</v>
      </c>
      <c r="C14" s="181" t="s">
        <v>141</v>
      </c>
      <c r="D14" s="138">
        <v>9</v>
      </c>
      <c r="E14" s="138">
        <v>2</v>
      </c>
      <c r="F14" s="138"/>
      <c r="G14" s="138"/>
      <c r="H14" s="138"/>
      <c r="I14" s="139">
        <f t="shared" si="2"/>
        <v>11</v>
      </c>
      <c r="J14" s="138">
        <v>9</v>
      </c>
      <c r="K14" s="138">
        <v>2</v>
      </c>
      <c r="L14" s="138"/>
      <c r="M14" s="138"/>
      <c r="N14" s="138"/>
      <c r="O14" s="139">
        <f t="shared" si="3"/>
        <v>11</v>
      </c>
      <c r="P14" s="138">
        <v>8</v>
      </c>
      <c r="Q14" s="138">
        <v>3</v>
      </c>
      <c r="R14" s="138"/>
      <c r="S14" s="138"/>
      <c r="T14" s="138"/>
      <c r="U14" s="139">
        <f t="shared" si="4"/>
        <v>11</v>
      </c>
      <c r="V14" s="138">
        <v>5</v>
      </c>
      <c r="W14" s="138">
        <v>3</v>
      </c>
      <c r="X14" s="138">
        <v>2</v>
      </c>
      <c r="Y14" s="138">
        <v>1</v>
      </c>
      <c r="Z14" s="138"/>
      <c r="AA14" s="139">
        <f t="shared" si="5"/>
        <v>11</v>
      </c>
      <c r="AB14" s="138">
        <v>7</v>
      </c>
      <c r="AC14" s="138">
        <v>4</v>
      </c>
      <c r="AD14" s="138"/>
      <c r="AE14" s="138"/>
      <c r="AF14" s="138"/>
      <c r="AG14" s="139">
        <f t="shared" si="6"/>
        <v>11</v>
      </c>
      <c r="AH14" s="138">
        <v>7</v>
      </c>
      <c r="AI14" s="138">
        <v>4</v>
      </c>
      <c r="AJ14" s="138"/>
      <c r="AK14" s="138"/>
      <c r="AL14" s="138"/>
      <c r="AM14" s="139">
        <f t="shared" si="7"/>
        <v>11</v>
      </c>
      <c r="AN14" s="138">
        <v>6</v>
      </c>
      <c r="AO14" s="138">
        <v>5</v>
      </c>
      <c r="AP14" s="138"/>
      <c r="AQ14" s="138"/>
      <c r="AR14" s="138"/>
      <c r="AS14" s="139">
        <f t="shared" si="8"/>
        <v>11</v>
      </c>
      <c r="AT14" s="138">
        <v>6</v>
      </c>
      <c r="AU14" s="138">
        <v>3</v>
      </c>
      <c r="AV14" s="138">
        <v>1</v>
      </c>
      <c r="AW14" s="138">
        <v>1</v>
      </c>
      <c r="AX14" s="138"/>
      <c r="AY14" s="139">
        <f t="shared" si="9"/>
        <v>11</v>
      </c>
      <c r="AZ14" s="138">
        <v>6</v>
      </c>
      <c r="BA14" s="138">
        <v>3</v>
      </c>
      <c r="BB14" s="138">
        <v>2</v>
      </c>
      <c r="BC14" s="138"/>
      <c r="BD14" s="138"/>
      <c r="BE14" s="140">
        <f t="shared" si="10"/>
        <v>11</v>
      </c>
    </row>
    <row r="15" spans="2:57" ht="16.5" customHeight="1">
      <c r="B15" s="39">
        <v>10</v>
      </c>
      <c r="C15" s="181" t="s">
        <v>468</v>
      </c>
      <c r="D15" s="138">
        <v>17</v>
      </c>
      <c r="E15" s="138">
        <v>2</v>
      </c>
      <c r="F15" s="138"/>
      <c r="G15" s="138"/>
      <c r="H15" s="138"/>
      <c r="I15" s="139">
        <f>SUM(D15:H15)</f>
        <v>19</v>
      </c>
      <c r="J15" s="138">
        <v>16</v>
      </c>
      <c r="K15" s="138">
        <v>3</v>
      </c>
      <c r="L15" s="138"/>
      <c r="M15" s="138"/>
      <c r="N15" s="138"/>
      <c r="O15" s="139">
        <f>SUM(J15:N15)</f>
        <v>19</v>
      </c>
      <c r="P15" s="138">
        <v>16</v>
      </c>
      <c r="Q15" s="138">
        <v>3</v>
      </c>
      <c r="R15" s="138"/>
      <c r="S15" s="138"/>
      <c r="T15" s="138"/>
      <c r="U15" s="139">
        <f>SUM(P15:T15)</f>
        <v>19</v>
      </c>
      <c r="V15" s="138">
        <v>13</v>
      </c>
      <c r="W15" s="138">
        <v>5</v>
      </c>
      <c r="X15" s="138">
        <v>1</v>
      </c>
      <c r="Y15" s="138"/>
      <c r="Z15" s="138"/>
      <c r="AA15" s="139">
        <f>SUM(V15:Z15)</f>
        <v>19</v>
      </c>
      <c r="AB15" s="138">
        <v>14</v>
      </c>
      <c r="AC15" s="138">
        <v>3</v>
      </c>
      <c r="AD15" s="138">
        <v>2</v>
      </c>
      <c r="AE15" s="138"/>
      <c r="AF15" s="138"/>
      <c r="AG15" s="139">
        <f>SUM(AB15:AF15)</f>
        <v>19</v>
      </c>
      <c r="AH15" s="138">
        <v>16</v>
      </c>
      <c r="AI15" s="138">
        <v>3</v>
      </c>
      <c r="AJ15" s="138"/>
      <c r="AK15" s="138"/>
      <c r="AL15" s="138"/>
      <c r="AM15" s="139">
        <f>SUM(AH15:AL15)</f>
        <v>19</v>
      </c>
      <c r="AN15" s="138">
        <v>15</v>
      </c>
      <c r="AO15" s="138">
        <v>3</v>
      </c>
      <c r="AP15" s="138">
        <v>1</v>
      </c>
      <c r="AQ15" s="138"/>
      <c r="AR15" s="138"/>
      <c r="AS15" s="139">
        <f>SUM(AN15:AR15)</f>
        <v>19</v>
      </c>
      <c r="AT15" s="138">
        <v>15</v>
      </c>
      <c r="AU15" s="138">
        <v>4</v>
      </c>
      <c r="AV15" s="138"/>
      <c r="AW15" s="138"/>
      <c r="AX15" s="138"/>
      <c r="AY15" s="139">
        <f t="shared" ref="AY15:AY21" si="11">SUM(AT15:AX15)</f>
        <v>19</v>
      </c>
      <c r="AZ15" s="138">
        <v>16</v>
      </c>
      <c r="BA15" s="138">
        <v>3</v>
      </c>
      <c r="BB15" s="138"/>
      <c r="BC15" s="138"/>
      <c r="BD15" s="138"/>
      <c r="BE15" s="140">
        <f t="shared" ref="BE15:BE21" si="12">SUM(AZ15:BD15)</f>
        <v>19</v>
      </c>
    </row>
    <row r="16" spans="2:57" ht="16.5" customHeight="1">
      <c r="B16" s="39">
        <v>11</v>
      </c>
      <c r="C16" s="181" t="s">
        <v>249</v>
      </c>
      <c r="D16" s="138">
        <v>12</v>
      </c>
      <c r="E16" s="138">
        <v>2</v>
      </c>
      <c r="F16" s="138"/>
      <c r="G16" s="138"/>
      <c r="H16" s="138">
        <v>1</v>
      </c>
      <c r="I16" s="139">
        <f t="shared" si="2"/>
        <v>15</v>
      </c>
      <c r="J16" s="138">
        <v>11</v>
      </c>
      <c r="K16" s="138">
        <v>3</v>
      </c>
      <c r="L16" s="138"/>
      <c r="M16" s="138"/>
      <c r="N16" s="138">
        <v>1</v>
      </c>
      <c r="O16" s="139">
        <f t="shared" si="3"/>
        <v>15</v>
      </c>
      <c r="P16" s="138">
        <v>12</v>
      </c>
      <c r="Q16" s="138">
        <v>2</v>
      </c>
      <c r="R16" s="138"/>
      <c r="S16" s="138">
        <v>1</v>
      </c>
      <c r="T16" s="138"/>
      <c r="U16" s="139">
        <f t="shared" si="4"/>
        <v>15</v>
      </c>
      <c r="V16" s="138">
        <v>10</v>
      </c>
      <c r="W16" s="138">
        <v>3</v>
      </c>
      <c r="X16" s="138"/>
      <c r="Y16" s="138"/>
      <c r="Z16" s="138">
        <v>2</v>
      </c>
      <c r="AA16" s="139">
        <f t="shared" si="5"/>
        <v>15</v>
      </c>
      <c r="AB16" s="138">
        <v>8</v>
      </c>
      <c r="AC16" s="138">
        <v>4</v>
      </c>
      <c r="AD16" s="138">
        <v>1</v>
      </c>
      <c r="AE16" s="138">
        <v>2</v>
      </c>
      <c r="AF16" s="138"/>
      <c r="AG16" s="139">
        <f t="shared" si="6"/>
        <v>15</v>
      </c>
      <c r="AH16" s="138">
        <v>11</v>
      </c>
      <c r="AI16" s="138">
        <v>3</v>
      </c>
      <c r="AJ16" s="138"/>
      <c r="AK16" s="138">
        <v>1</v>
      </c>
      <c r="AL16" s="138"/>
      <c r="AM16" s="139">
        <f t="shared" si="7"/>
        <v>15</v>
      </c>
      <c r="AN16" s="138">
        <v>9</v>
      </c>
      <c r="AO16" s="138">
        <v>4</v>
      </c>
      <c r="AP16" s="138"/>
      <c r="AQ16" s="138">
        <v>2</v>
      </c>
      <c r="AR16" s="138"/>
      <c r="AS16" s="139">
        <f t="shared" si="8"/>
        <v>15</v>
      </c>
      <c r="AT16" s="138">
        <v>8</v>
      </c>
      <c r="AU16" s="138">
        <v>6</v>
      </c>
      <c r="AV16" s="138"/>
      <c r="AW16" s="138"/>
      <c r="AX16" s="138">
        <v>1</v>
      </c>
      <c r="AY16" s="139">
        <f t="shared" si="11"/>
        <v>15</v>
      </c>
      <c r="AZ16" s="138">
        <v>7</v>
      </c>
      <c r="BA16" s="138">
        <v>7</v>
      </c>
      <c r="BB16" s="138"/>
      <c r="BC16" s="138"/>
      <c r="BD16" s="138">
        <v>1</v>
      </c>
      <c r="BE16" s="140">
        <f t="shared" si="12"/>
        <v>15</v>
      </c>
    </row>
    <row r="17" spans="2:57" ht="16.5" customHeight="1">
      <c r="B17" s="39">
        <v>12</v>
      </c>
      <c r="C17" s="181" t="s">
        <v>469</v>
      </c>
      <c r="D17" s="138">
        <v>15</v>
      </c>
      <c r="E17" s="138">
        <v>2</v>
      </c>
      <c r="F17" s="138">
        <v>1</v>
      </c>
      <c r="G17" s="138"/>
      <c r="H17" s="138"/>
      <c r="I17" s="139">
        <f>SUM(D17:H17)</f>
        <v>18</v>
      </c>
      <c r="J17" s="138">
        <v>14</v>
      </c>
      <c r="K17" s="138">
        <v>3</v>
      </c>
      <c r="L17" s="138">
        <v>1</v>
      </c>
      <c r="M17" s="138"/>
      <c r="N17" s="138"/>
      <c r="O17" s="139">
        <f>SUM(J17:N17)</f>
        <v>18</v>
      </c>
      <c r="P17" s="138">
        <v>14</v>
      </c>
      <c r="Q17" s="138">
        <v>4</v>
      </c>
      <c r="R17" s="138"/>
      <c r="S17" s="138"/>
      <c r="T17" s="138"/>
      <c r="U17" s="139">
        <f>SUM(P17:T17)</f>
        <v>18</v>
      </c>
      <c r="V17" s="138">
        <v>12</v>
      </c>
      <c r="W17" s="138">
        <v>2</v>
      </c>
      <c r="X17" s="138">
        <v>3</v>
      </c>
      <c r="Y17" s="138">
        <v>1</v>
      </c>
      <c r="Z17" s="138"/>
      <c r="AA17" s="139">
        <f>SUM(V17:Z17)</f>
        <v>18</v>
      </c>
      <c r="AB17" s="138">
        <v>13</v>
      </c>
      <c r="AC17" s="138">
        <v>2</v>
      </c>
      <c r="AD17" s="138">
        <v>3</v>
      </c>
      <c r="AE17" s="138"/>
      <c r="AF17" s="138"/>
      <c r="AG17" s="139">
        <f>SUM(AB17:AF17)</f>
        <v>18</v>
      </c>
      <c r="AH17" s="138">
        <v>14</v>
      </c>
      <c r="AI17" s="138">
        <v>2</v>
      </c>
      <c r="AJ17" s="138">
        <v>2</v>
      </c>
      <c r="AK17" s="138"/>
      <c r="AL17" s="138"/>
      <c r="AM17" s="139">
        <f>SUM(AH17:AL17)</f>
        <v>18</v>
      </c>
      <c r="AN17" s="138">
        <v>13</v>
      </c>
      <c r="AO17" s="138">
        <v>3</v>
      </c>
      <c r="AP17" s="138">
        <v>2</v>
      </c>
      <c r="AQ17" s="138"/>
      <c r="AR17" s="138"/>
      <c r="AS17" s="139">
        <f>SUM(AN17:AR17)</f>
        <v>18</v>
      </c>
      <c r="AT17" s="138">
        <v>12</v>
      </c>
      <c r="AU17" s="138">
        <v>2</v>
      </c>
      <c r="AV17" s="138">
        <v>4</v>
      </c>
      <c r="AW17" s="138"/>
      <c r="AX17" s="138"/>
      <c r="AY17" s="139">
        <f t="shared" si="11"/>
        <v>18</v>
      </c>
      <c r="AZ17" s="138">
        <v>13</v>
      </c>
      <c r="BA17" s="138">
        <v>3</v>
      </c>
      <c r="BB17" s="138">
        <v>2</v>
      </c>
      <c r="BC17" s="138"/>
      <c r="BD17" s="138"/>
      <c r="BE17" s="140">
        <f t="shared" si="12"/>
        <v>18</v>
      </c>
    </row>
    <row r="18" spans="2:57">
      <c r="B18" s="39">
        <v>13</v>
      </c>
      <c r="C18" s="181" t="s">
        <v>470</v>
      </c>
      <c r="D18" s="132">
        <v>3</v>
      </c>
      <c r="E18" s="132">
        <v>4</v>
      </c>
      <c r="F18" s="132">
        <v>2</v>
      </c>
      <c r="G18" s="132">
        <v>1</v>
      </c>
      <c r="H18" s="132"/>
      <c r="I18" s="139">
        <f>SUM(D18:H18)</f>
        <v>10</v>
      </c>
      <c r="J18" s="132">
        <v>2</v>
      </c>
      <c r="K18" s="132">
        <v>3</v>
      </c>
      <c r="L18" s="132">
        <v>2</v>
      </c>
      <c r="M18" s="132">
        <v>3</v>
      </c>
      <c r="N18" s="132"/>
      <c r="O18" s="139">
        <f>SUM(J18:N18)</f>
        <v>10</v>
      </c>
      <c r="P18" s="132">
        <v>2</v>
      </c>
      <c r="Q18" s="132">
        <v>4</v>
      </c>
      <c r="R18" s="132">
        <v>3</v>
      </c>
      <c r="S18" s="132">
        <v>1</v>
      </c>
      <c r="T18" s="132"/>
      <c r="U18" s="139">
        <f>SUM(P18:T18)</f>
        <v>10</v>
      </c>
      <c r="V18" s="132">
        <v>2</v>
      </c>
      <c r="W18" s="132">
        <v>4</v>
      </c>
      <c r="X18" s="132">
        <v>4</v>
      </c>
      <c r="Y18" s="132"/>
      <c r="Z18" s="132"/>
      <c r="AA18" s="139">
        <f>SUM(V18:Z18)</f>
        <v>10</v>
      </c>
      <c r="AB18" s="132">
        <v>2</v>
      </c>
      <c r="AC18" s="132">
        <v>4</v>
      </c>
      <c r="AD18" s="132">
        <v>4</v>
      </c>
      <c r="AE18" s="132"/>
      <c r="AF18" s="132"/>
      <c r="AG18" s="139">
        <f>SUM(AB18:AF18)</f>
        <v>10</v>
      </c>
      <c r="AH18" s="132">
        <v>2</v>
      </c>
      <c r="AI18" s="132">
        <v>4</v>
      </c>
      <c r="AJ18" s="132">
        <v>4</v>
      </c>
      <c r="AK18" s="132"/>
      <c r="AL18" s="132"/>
      <c r="AM18" s="139">
        <f>SUM(AH18:AL18)</f>
        <v>10</v>
      </c>
      <c r="AN18" s="132">
        <v>2</v>
      </c>
      <c r="AO18" s="132">
        <v>4</v>
      </c>
      <c r="AP18" s="132">
        <v>1</v>
      </c>
      <c r="AQ18" s="132">
        <v>3</v>
      </c>
      <c r="AR18" s="132"/>
      <c r="AS18" s="139">
        <f>SUM(AN18:AR18)</f>
        <v>10</v>
      </c>
      <c r="AT18" s="132">
        <v>2</v>
      </c>
      <c r="AU18" s="132">
        <v>4</v>
      </c>
      <c r="AV18" s="132">
        <v>4</v>
      </c>
      <c r="AW18" s="132"/>
      <c r="AX18" s="132"/>
      <c r="AY18" s="139">
        <f t="shared" si="11"/>
        <v>10</v>
      </c>
      <c r="AZ18" s="132">
        <v>2</v>
      </c>
      <c r="BA18" s="132">
        <v>4</v>
      </c>
      <c r="BB18" s="132">
        <v>4</v>
      </c>
      <c r="BC18" s="132"/>
      <c r="BD18" s="132"/>
      <c r="BE18" s="140">
        <f t="shared" si="12"/>
        <v>10</v>
      </c>
    </row>
    <row r="19" spans="2:57">
      <c r="B19" s="48">
        <v>14</v>
      </c>
      <c r="C19" s="180" t="s">
        <v>143</v>
      </c>
      <c r="D19" s="132">
        <v>13</v>
      </c>
      <c r="E19" s="132"/>
      <c r="F19" s="132"/>
      <c r="G19" s="132"/>
      <c r="H19" s="132"/>
      <c r="I19" s="139">
        <f>SUM(D19:H19)</f>
        <v>13</v>
      </c>
      <c r="J19" s="132">
        <v>13</v>
      </c>
      <c r="K19" s="132"/>
      <c r="L19" s="132"/>
      <c r="M19" s="132"/>
      <c r="N19" s="132"/>
      <c r="O19" s="139">
        <f>SUM(J19:N19)</f>
        <v>13</v>
      </c>
      <c r="P19" s="132">
        <v>13</v>
      </c>
      <c r="Q19" s="132"/>
      <c r="R19" s="132"/>
      <c r="S19" s="132"/>
      <c r="T19" s="132"/>
      <c r="U19" s="139">
        <f>SUM(P19:T19)</f>
        <v>13</v>
      </c>
      <c r="V19" s="132">
        <v>11</v>
      </c>
      <c r="W19" s="132">
        <v>2</v>
      </c>
      <c r="X19" s="132"/>
      <c r="Y19" s="132"/>
      <c r="Z19" s="132"/>
      <c r="AA19" s="139">
        <f>SUM(V19:Z19)</f>
        <v>13</v>
      </c>
      <c r="AB19" s="132">
        <v>10</v>
      </c>
      <c r="AC19" s="132">
        <v>3</v>
      </c>
      <c r="AD19" s="132"/>
      <c r="AE19" s="132"/>
      <c r="AF19" s="132"/>
      <c r="AG19" s="139">
        <f>SUM(AB19:AF19)</f>
        <v>13</v>
      </c>
      <c r="AH19" s="132">
        <v>12</v>
      </c>
      <c r="AI19" s="132">
        <v>1</v>
      </c>
      <c r="AJ19" s="132"/>
      <c r="AK19" s="132"/>
      <c r="AL19" s="132"/>
      <c r="AM19" s="139">
        <f>SUM(AH19:AL19)</f>
        <v>13</v>
      </c>
      <c r="AN19" s="132">
        <v>11</v>
      </c>
      <c r="AO19" s="132">
        <v>2</v>
      </c>
      <c r="AP19" s="132"/>
      <c r="AQ19" s="132"/>
      <c r="AR19" s="132"/>
      <c r="AS19" s="139">
        <f>SUM(AN19:AR19)</f>
        <v>13</v>
      </c>
      <c r="AT19" s="132">
        <v>10</v>
      </c>
      <c r="AU19" s="132">
        <v>3</v>
      </c>
      <c r="AV19" s="132"/>
      <c r="AW19" s="132"/>
      <c r="AX19" s="132"/>
      <c r="AY19" s="139">
        <f t="shared" si="11"/>
        <v>13</v>
      </c>
      <c r="AZ19" s="132">
        <v>10</v>
      </c>
      <c r="BA19" s="132">
        <v>2</v>
      </c>
      <c r="BB19" s="132">
        <v>1</v>
      </c>
      <c r="BC19" s="132"/>
      <c r="BD19" s="132"/>
      <c r="BE19" s="140">
        <f t="shared" si="12"/>
        <v>13</v>
      </c>
    </row>
    <row r="20" spans="2:57">
      <c r="B20" s="48">
        <v>15</v>
      </c>
      <c r="C20" s="184" t="s">
        <v>471</v>
      </c>
      <c r="D20" s="132">
        <v>15</v>
      </c>
      <c r="E20" s="132"/>
      <c r="F20" s="132"/>
      <c r="G20" s="132"/>
      <c r="H20" s="132"/>
      <c r="I20" s="139">
        <f>SUM(D20:H20)</f>
        <v>15</v>
      </c>
      <c r="J20" s="132">
        <v>15</v>
      </c>
      <c r="K20" s="132"/>
      <c r="L20" s="132"/>
      <c r="M20" s="132"/>
      <c r="N20" s="132"/>
      <c r="O20" s="139">
        <f>SUM(J20:N20)</f>
        <v>15</v>
      </c>
      <c r="P20" s="132">
        <v>14</v>
      </c>
      <c r="Q20" s="132">
        <v>1</v>
      </c>
      <c r="R20" s="132"/>
      <c r="S20" s="132"/>
      <c r="T20" s="132"/>
      <c r="U20" s="139">
        <f>SUM(P20:T20)</f>
        <v>15</v>
      </c>
      <c r="V20" s="132">
        <v>13</v>
      </c>
      <c r="W20" s="132">
        <v>2</v>
      </c>
      <c r="X20" s="132"/>
      <c r="Y20" s="132"/>
      <c r="Z20" s="132"/>
      <c r="AA20" s="139">
        <f>SUM(V20:Z20)</f>
        <v>15</v>
      </c>
      <c r="AB20" s="132">
        <v>14</v>
      </c>
      <c r="AC20" s="132">
        <v>1</v>
      </c>
      <c r="AD20" s="132"/>
      <c r="AE20" s="132"/>
      <c r="AF20" s="132"/>
      <c r="AG20" s="139">
        <f>SUM(AB20:AF20)</f>
        <v>15</v>
      </c>
      <c r="AH20" s="132">
        <v>15</v>
      </c>
      <c r="AI20" s="132"/>
      <c r="AJ20" s="132"/>
      <c r="AK20" s="132"/>
      <c r="AL20" s="132"/>
      <c r="AM20" s="139">
        <f>SUM(AH20:AL20)</f>
        <v>15</v>
      </c>
      <c r="AN20" s="132">
        <v>11</v>
      </c>
      <c r="AO20" s="132">
        <v>2</v>
      </c>
      <c r="AP20" s="132">
        <v>2</v>
      </c>
      <c r="AQ20" s="132"/>
      <c r="AR20" s="132"/>
      <c r="AS20" s="139">
        <f>SUM(AN20:AR20)</f>
        <v>15</v>
      </c>
      <c r="AT20" s="132">
        <v>6</v>
      </c>
      <c r="AU20" s="132">
        <v>4</v>
      </c>
      <c r="AV20" s="132">
        <v>5</v>
      </c>
      <c r="AW20" s="132"/>
      <c r="AX20" s="132"/>
      <c r="AY20" s="139">
        <f t="shared" si="11"/>
        <v>15</v>
      </c>
      <c r="AZ20" s="132">
        <v>14</v>
      </c>
      <c r="BA20" s="132">
        <v>1</v>
      </c>
      <c r="BB20" s="132"/>
      <c r="BC20" s="132"/>
      <c r="BD20" s="132"/>
      <c r="BE20" s="140">
        <f t="shared" si="12"/>
        <v>15</v>
      </c>
    </row>
    <row r="21" spans="2:57" ht="17.25" thickBot="1">
      <c r="B21" s="188">
        <v>16</v>
      </c>
      <c r="C21" s="185" t="s">
        <v>145</v>
      </c>
      <c r="D21" s="189"/>
      <c r="E21" s="189"/>
      <c r="F21" s="189"/>
      <c r="G21" s="189"/>
      <c r="H21" s="189"/>
      <c r="I21" s="147">
        <f>SUM(D21:H21)</f>
        <v>0</v>
      </c>
      <c r="J21" s="189"/>
      <c r="K21" s="189"/>
      <c r="L21" s="189"/>
      <c r="M21" s="189"/>
      <c r="N21" s="189"/>
      <c r="O21" s="147">
        <f>SUM(J21:N21)</f>
        <v>0</v>
      </c>
      <c r="P21" s="189"/>
      <c r="Q21" s="189"/>
      <c r="R21" s="189"/>
      <c r="S21" s="189"/>
      <c r="T21" s="189"/>
      <c r="U21" s="147">
        <f>SUM(P21:T21)</f>
        <v>0</v>
      </c>
      <c r="V21" s="189"/>
      <c r="W21" s="189"/>
      <c r="X21" s="189"/>
      <c r="Y21" s="189"/>
      <c r="Z21" s="189"/>
      <c r="AA21" s="147">
        <f>SUM(V21:Z21)</f>
        <v>0</v>
      </c>
      <c r="AB21" s="189"/>
      <c r="AC21" s="189"/>
      <c r="AD21" s="189"/>
      <c r="AE21" s="189"/>
      <c r="AF21" s="189"/>
      <c r="AG21" s="147">
        <f>SUM(AB21:AF21)</f>
        <v>0</v>
      </c>
      <c r="AH21" s="189"/>
      <c r="AI21" s="189"/>
      <c r="AJ21" s="189"/>
      <c r="AK21" s="189"/>
      <c r="AL21" s="189"/>
      <c r="AM21" s="147">
        <f>SUM(AH21:AL21)</f>
        <v>0</v>
      </c>
      <c r="AN21" s="189"/>
      <c r="AO21" s="189"/>
      <c r="AP21" s="189"/>
      <c r="AQ21" s="189"/>
      <c r="AR21" s="189"/>
      <c r="AS21" s="147">
        <f>SUM(AN21:AR21)</f>
        <v>0</v>
      </c>
      <c r="AT21" s="189"/>
      <c r="AU21" s="189"/>
      <c r="AV21" s="189"/>
      <c r="AW21" s="189"/>
      <c r="AX21" s="189"/>
      <c r="AY21" s="147">
        <f t="shared" si="11"/>
        <v>0</v>
      </c>
      <c r="AZ21" s="189"/>
      <c r="BA21" s="189"/>
      <c r="BB21" s="189"/>
      <c r="BC21" s="189"/>
      <c r="BD21" s="189"/>
      <c r="BE21" s="148">
        <f t="shared" si="12"/>
        <v>0</v>
      </c>
    </row>
    <row r="22" spans="2:57">
      <c r="D22" s="15"/>
      <c r="E22" s="15"/>
      <c r="F22" s="15"/>
      <c r="G22" s="15"/>
      <c r="H22" s="15"/>
      <c r="I22" s="15"/>
      <c r="J22" s="15"/>
      <c r="K22" s="15"/>
      <c r="L22" s="15"/>
      <c r="M22" s="15"/>
      <c r="N22" s="15"/>
      <c r="O22" s="15"/>
      <c r="P22" s="15"/>
      <c r="Q22" s="15"/>
      <c r="R22" s="15"/>
      <c r="S22" s="15"/>
      <c r="T22" s="15"/>
      <c r="U22" s="15"/>
      <c r="V22" s="15"/>
      <c r="W22" s="15"/>
      <c r="X22" s="15"/>
      <c r="Y22" s="15"/>
      <c r="Z22" s="15"/>
      <c r="AA22" s="15"/>
    </row>
    <row r="23" spans="2:57">
      <c r="D23" s="15"/>
      <c r="E23" s="15"/>
      <c r="F23" s="15"/>
      <c r="G23" s="15"/>
      <c r="H23" s="15"/>
      <c r="I23" s="15"/>
      <c r="J23" s="15"/>
      <c r="K23" s="15"/>
      <c r="L23" s="15"/>
      <c r="M23" s="15"/>
      <c r="N23" s="15"/>
      <c r="O23" s="15"/>
      <c r="P23" s="15"/>
      <c r="Q23" s="15"/>
      <c r="R23" s="15"/>
      <c r="S23" s="15"/>
      <c r="T23" s="15"/>
      <c r="U23" s="15"/>
      <c r="V23" s="15"/>
      <c r="W23" s="15"/>
      <c r="X23" s="15"/>
      <c r="Y23" s="15"/>
      <c r="Z23" s="15"/>
      <c r="AA23" s="15"/>
    </row>
    <row r="24" spans="2:57">
      <c r="D24" s="15"/>
      <c r="E24" s="15"/>
      <c r="F24" s="15"/>
      <c r="G24" s="15"/>
      <c r="H24" s="15"/>
      <c r="I24" s="15"/>
      <c r="J24" s="15"/>
      <c r="K24" s="15"/>
      <c r="L24" s="15"/>
      <c r="M24" s="15"/>
      <c r="N24" s="15"/>
      <c r="O24" s="15"/>
      <c r="P24" s="15"/>
      <c r="Q24" s="15"/>
      <c r="R24" s="15"/>
      <c r="S24" s="15"/>
      <c r="T24" s="15"/>
      <c r="U24" s="15"/>
      <c r="V24" s="15"/>
      <c r="W24" s="15"/>
      <c r="X24" s="15"/>
      <c r="Y24" s="15"/>
      <c r="Z24" s="15"/>
      <c r="AA24" s="15"/>
    </row>
    <row r="25" spans="2:57">
      <c r="D25" s="15"/>
      <c r="E25" s="15"/>
      <c r="F25" s="15"/>
      <c r="G25" s="15"/>
      <c r="H25" s="15"/>
      <c r="I25" s="15"/>
      <c r="J25" s="15"/>
      <c r="K25" s="15"/>
      <c r="L25" s="15"/>
      <c r="M25" s="15"/>
      <c r="N25" s="15"/>
      <c r="O25" s="15"/>
      <c r="P25" s="15"/>
      <c r="Q25" s="15"/>
      <c r="R25" s="15"/>
      <c r="S25" s="15"/>
      <c r="T25" s="15"/>
      <c r="U25" s="15"/>
      <c r="V25" s="15"/>
      <c r="W25" s="15"/>
      <c r="X25" s="15"/>
      <c r="Y25" s="15"/>
      <c r="Z25" s="15"/>
      <c r="AA25" s="15"/>
    </row>
    <row r="26" spans="2:57">
      <c r="D26" s="15"/>
      <c r="E26" s="15"/>
      <c r="F26" s="15"/>
      <c r="G26" s="15"/>
      <c r="H26" s="15"/>
      <c r="I26" s="15"/>
      <c r="J26" s="15"/>
      <c r="K26" s="15"/>
      <c r="L26" s="15"/>
      <c r="M26" s="15"/>
      <c r="N26" s="15"/>
      <c r="O26" s="15"/>
      <c r="P26" s="15"/>
      <c r="Q26" s="15"/>
      <c r="R26" s="15"/>
      <c r="S26" s="15"/>
      <c r="T26" s="15"/>
      <c r="U26" s="15"/>
      <c r="V26" s="15"/>
      <c r="W26" s="15"/>
      <c r="X26" s="15"/>
      <c r="Y26" s="15"/>
      <c r="Z26" s="15"/>
      <c r="AA26" s="15"/>
    </row>
    <row r="27" spans="2:57">
      <c r="D27" s="15"/>
      <c r="E27" s="15"/>
      <c r="F27" s="15"/>
      <c r="G27" s="15"/>
      <c r="H27" s="15"/>
      <c r="I27" s="15"/>
      <c r="J27" s="15"/>
      <c r="K27" s="15"/>
      <c r="L27" s="15"/>
      <c r="M27" s="15"/>
      <c r="N27" s="15"/>
      <c r="O27" s="15"/>
      <c r="P27" s="15"/>
      <c r="Q27" s="15"/>
      <c r="R27" s="15"/>
      <c r="S27" s="15"/>
      <c r="T27" s="15"/>
      <c r="U27" s="15"/>
      <c r="V27" s="15"/>
      <c r="W27" s="15"/>
      <c r="X27" s="15"/>
      <c r="Y27" s="15"/>
      <c r="Z27" s="15"/>
      <c r="AA27" s="15"/>
    </row>
    <row r="28" spans="2:57">
      <c r="D28" s="15"/>
      <c r="E28" s="15"/>
      <c r="F28" s="15"/>
      <c r="G28" s="15"/>
      <c r="H28" s="15"/>
      <c r="I28" s="15"/>
      <c r="J28" s="15"/>
      <c r="K28" s="15"/>
      <c r="L28" s="15"/>
      <c r="M28" s="15"/>
      <c r="N28" s="15"/>
      <c r="O28" s="15"/>
      <c r="P28" s="15"/>
      <c r="Q28" s="15"/>
      <c r="R28" s="15"/>
      <c r="S28" s="15"/>
      <c r="T28" s="15"/>
      <c r="U28" s="15"/>
      <c r="V28" s="15"/>
      <c r="W28" s="15"/>
      <c r="X28" s="15"/>
      <c r="Y28" s="15"/>
      <c r="Z28" s="15"/>
      <c r="AA28" s="15"/>
    </row>
    <row r="29" spans="2:57">
      <c r="D29" s="15"/>
      <c r="E29" s="15"/>
      <c r="F29" s="15"/>
      <c r="G29" s="15"/>
      <c r="H29" s="15"/>
      <c r="I29" s="15"/>
      <c r="J29" s="15"/>
      <c r="K29" s="15"/>
      <c r="L29" s="15"/>
      <c r="M29" s="15"/>
      <c r="N29" s="15"/>
      <c r="O29" s="15"/>
      <c r="P29" s="15"/>
      <c r="Q29" s="15"/>
      <c r="R29" s="15"/>
      <c r="S29" s="15"/>
      <c r="T29" s="15"/>
      <c r="U29" s="15"/>
      <c r="V29" s="15"/>
      <c r="W29" s="15"/>
      <c r="X29" s="15"/>
      <c r="Y29" s="15"/>
      <c r="Z29" s="15"/>
      <c r="AA29" s="15"/>
    </row>
    <row r="30" spans="2:57">
      <c r="D30" s="15"/>
      <c r="E30" s="15"/>
      <c r="F30" s="15"/>
      <c r="G30" s="15"/>
      <c r="H30" s="15"/>
      <c r="I30" s="15"/>
      <c r="J30" s="15"/>
      <c r="K30" s="15"/>
      <c r="L30" s="15"/>
      <c r="M30" s="15"/>
      <c r="N30" s="15"/>
      <c r="O30" s="15"/>
      <c r="P30" s="15"/>
      <c r="Q30" s="15"/>
      <c r="R30" s="15"/>
      <c r="S30" s="15"/>
      <c r="T30" s="15"/>
      <c r="U30" s="15"/>
      <c r="V30" s="15"/>
      <c r="W30" s="15"/>
      <c r="X30" s="15"/>
      <c r="Y30" s="15"/>
      <c r="Z30" s="15"/>
      <c r="AA30" s="15"/>
    </row>
    <row r="31" spans="2:57">
      <c r="D31" s="15"/>
      <c r="E31" s="15"/>
      <c r="F31" s="15"/>
      <c r="G31" s="15"/>
      <c r="H31" s="15"/>
      <c r="I31" s="15"/>
      <c r="J31" s="15"/>
      <c r="K31" s="15"/>
      <c r="L31" s="15"/>
      <c r="M31" s="15"/>
      <c r="N31" s="15"/>
      <c r="O31" s="15"/>
      <c r="P31" s="15"/>
      <c r="Q31" s="15"/>
      <c r="R31" s="15"/>
      <c r="S31" s="15"/>
      <c r="T31" s="15"/>
      <c r="U31" s="15"/>
      <c r="V31" s="15"/>
      <c r="W31" s="15"/>
      <c r="X31" s="15"/>
      <c r="Y31" s="15"/>
      <c r="Z31" s="15"/>
      <c r="AA31" s="15"/>
    </row>
    <row r="32" spans="2:57">
      <c r="D32" s="15"/>
      <c r="E32" s="15"/>
      <c r="F32" s="15"/>
      <c r="G32" s="15"/>
      <c r="H32" s="15"/>
      <c r="I32" s="15"/>
      <c r="J32" s="15"/>
      <c r="K32" s="15"/>
      <c r="L32" s="15"/>
      <c r="M32" s="15"/>
      <c r="N32" s="15"/>
      <c r="O32" s="15"/>
      <c r="P32" s="15"/>
      <c r="Q32" s="15"/>
      <c r="R32" s="15"/>
      <c r="S32" s="15"/>
      <c r="T32" s="15"/>
      <c r="U32" s="15"/>
      <c r="V32" s="15"/>
      <c r="W32" s="15"/>
      <c r="X32" s="15"/>
      <c r="Y32" s="15"/>
      <c r="Z32" s="15"/>
      <c r="AA32" s="15"/>
    </row>
    <row r="33" spans="4:27">
      <c r="D33" s="15"/>
      <c r="E33" s="15"/>
      <c r="F33" s="15"/>
      <c r="G33" s="15"/>
      <c r="H33" s="15"/>
      <c r="I33" s="15"/>
      <c r="J33" s="15"/>
      <c r="K33" s="15"/>
      <c r="L33" s="15"/>
      <c r="M33" s="15"/>
      <c r="N33" s="15"/>
      <c r="O33" s="15"/>
      <c r="P33" s="15"/>
      <c r="Q33" s="15"/>
      <c r="R33" s="15"/>
      <c r="S33" s="15"/>
      <c r="T33" s="15"/>
      <c r="U33" s="15"/>
      <c r="V33" s="15"/>
      <c r="W33" s="15"/>
      <c r="X33" s="15"/>
      <c r="Y33" s="15"/>
      <c r="Z33" s="15"/>
      <c r="AA33" s="15"/>
    </row>
    <row r="34" spans="4:27">
      <c r="D34" s="15"/>
      <c r="E34" s="15"/>
      <c r="F34" s="15"/>
      <c r="G34" s="15"/>
      <c r="H34" s="15"/>
      <c r="I34" s="15"/>
      <c r="J34" s="15"/>
      <c r="K34" s="15"/>
      <c r="L34" s="15"/>
      <c r="M34" s="15"/>
      <c r="N34" s="15"/>
      <c r="O34" s="15"/>
      <c r="P34" s="15"/>
      <c r="Q34" s="15"/>
      <c r="R34" s="15"/>
      <c r="S34" s="15"/>
      <c r="T34" s="15"/>
      <c r="U34" s="15"/>
      <c r="V34" s="15"/>
      <c r="W34" s="15"/>
      <c r="X34" s="15"/>
      <c r="Y34" s="15"/>
      <c r="Z34" s="15"/>
      <c r="AA34" s="15"/>
    </row>
    <row r="35" spans="4:27">
      <c r="D35" s="15"/>
      <c r="E35" s="15"/>
      <c r="F35" s="15"/>
      <c r="G35" s="15"/>
      <c r="H35" s="15"/>
      <c r="I35" s="15"/>
      <c r="J35" s="15"/>
      <c r="K35" s="15"/>
      <c r="L35" s="15"/>
      <c r="M35" s="15"/>
      <c r="N35" s="15"/>
      <c r="O35" s="15"/>
      <c r="P35" s="15"/>
      <c r="Q35" s="15"/>
      <c r="R35" s="15"/>
      <c r="S35" s="15"/>
      <c r="T35" s="15"/>
      <c r="U35" s="15"/>
      <c r="V35" s="15"/>
      <c r="W35" s="15"/>
      <c r="X35" s="15"/>
      <c r="Y35" s="15"/>
      <c r="Z35" s="15"/>
      <c r="AA35" s="15"/>
    </row>
    <row r="36" spans="4:27">
      <c r="D36" s="15"/>
      <c r="E36" s="15"/>
      <c r="F36" s="15"/>
      <c r="G36" s="15"/>
      <c r="H36" s="15"/>
      <c r="I36" s="15"/>
      <c r="J36" s="15"/>
      <c r="K36" s="15"/>
      <c r="L36" s="15"/>
      <c r="M36" s="15"/>
      <c r="N36" s="15"/>
      <c r="O36" s="15"/>
      <c r="P36" s="15"/>
      <c r="Q36" s="15"/>
      <c r="R36" s="15"/>
      <c r="S36" s="15"/>
      <c r="T36" s="15"/>
      <c r="U36" s="15"/>
      <c r="V36" s="15"/>
      <c r="W36" s="15"/>
      <c r="X36" s="15"/>
      <c r="Y36" s="15"/>
      <c r="Z36" s="15"/>
      <c r="AA36" s="15"/>
    </row>
    <row r="37" spans="4:27">
      <c r="D37" s="15"/>
      <c r="E37" s="15"/>
      <c r="F37" s="15"/>
      <c r="G37" s="15"/>
      <c r="H37" s="15"/>
      <c r="I37" s="15"/>
      <c r="J37" s="15"/>
      <c r="K37" s="15"/>
      <c r="L37" s="15"/>
      <c r="M37" s="15"/>
      <c r="N37" s="15"/>
      <c r="O37" s="15"/>
      <c r="P37" s="15"/>
      <c r="Q37" s="15"/>
      <c r="R37" s="15"/>
      <c r="S37" s="15"/>
      <c r="T37" s="15"/>
      <c r="U37" s="15"/>
      <c r="V37" s="15"/>
      <c r="W37" s="15"/>
      <c r="X37" s="15"/>
      <c r="Y37" s="15"/>
      <c r="Z37" s="15"/>
      <c r="AA37" s="15"/>
    </row>
    <row r="38" spans="4:27">
      <c r="D38" s="15"/>
      <c r="E38" s="15"/>
      <c r="F38" s="15"/>
      <c r="G38" s="15"/>
      <c r="H38" s="15"/>
      <c r="I38" s="15"/>
      <c r="J38" s="15"/>
      <c r="K38" s="15"/>
      <c r="L38" s="15"/>
      <c r="M38" s="15"/>
      <c r="N38" s="15"/>
      <c r="O38" s="15"/>
      <c r="P38" s="15"/>
      <c r="Q38" s="15"/>
      <c r="R38" s="15"/>
      <c r="S38" s="15"/>
      <c r="T38" s="15"/>
      <c r="U38" s="15"/>
      <c r="V38" s="15"/>
      <c r="W38" s="15"/>
      <c r="X38" s="15"/>
      <c r="Y38" s="15"/>
      <c r="Z38" s="15"/>
      <c r="AA38" s="15"/>
    </row>
    <row r="39" spans="4:27">
      <c r="D39" s="15"/>
      <c r="E39" s="15"/>
      <c r="F39" s="15"/>
      <c r="G39" s="15"/>
      <c r="H39" s="15"/>
      <c r="I39" s="15"/>
      <c r="J39" s="15"/>
      <c r="K39" s="15"/>
      <c r="L39" s="15"/>
      <c r="M39" s="15"/>
      <c r="N39" s="15"/>
      <c r="O39" s="15"/>
      <c r="P39" s="15"/>
      <c r="Q39" s="15"/>
      <c r="R39" s="15"/>
      <c r="S39" s="15"/>
      <c r="T39" s="15"/>
      <c r="U39" s="15"/>
      <c r="V39" s="15"/>
      <c r="W39" s="15"/>
      <c r="X39" s="15"/>
      <c r="Y39" s="15"/>
      <c r="Z39" s="15"/>
      <c r="AA39" s="15"/>
    </row>
    <row r="40" spans="4:27">
      <c r="D40" s="15"/>
      <c r="E40" s="15"/>
      <c r="F40" s="15"/>
      <c r="G40" s="15"/>
      <c r="H40" s="15"/>
      <c r="I40" s="15"/>
      <c r="J40" s="15"/>
      <c r="K40" s="15"/>
      <c r="L40" s="15"/>
      <c r="M40" s="15"/>
      <c r="N40" s="15"/>
      <c r="O40" s="15"/>
      <c r="P40" s="15"/>
      <c r="Q40" s="15"/>
      <c r="R40" s="15"/>
      <c r="S40" s="15"/>
      <c r="T40" s="15"/>
      <c r="U40" s="15"/>
      <c r="V40" s="15"/>
      <c r="W40" s="15"/>
      <c r="X40" s="15"/>
      <c r="Y40" s="15"/>
      <c r="Z40" s="15"/>
      <c r="AA40" s="15"/>
    </row>
    <row r="41" spans="4:27">
      <c r="D41" s="15"/>
      <c r="E41" s="15"/>
      <c r="F41" s="15"/>
      <c r="G41" s="15"/>
      <c r="H41" s="15"/>
      <c r="I41" s="15"/>
      <c r="J41" s="15"/>
      <c r="K41" s="15"/>
      <c r="L41" s="15"/>
      <c r="M41" s="15"/>
      <c r="N41" s="15"/>
      <c r="O41" s="15"/>
      <c r="P41" s="15"/>
      <c r="Q41" s="15"/>
      <c r="R41" s="15"/>
      <c r="S41" s="15"/>
      <c r="T41" s="15"/>
      <c r="U41" s="15"/>
      <c r="V41" s="15"/>
      <c r="W41" s="15"/>
      <c r="X41" s="15"/>
      <c r="Y41" s="15"/>
      <c r="Z41" s="15"/>
      <c r="AA41" s="15"/>
    </row>
    <row r="42" spans="4:27">
      <c r="D42" s="15"/>
      <c r="E42" s="15"/>
      <c r="F42" s="15"/>
      <c r="G42" s="15"/>
      <c r="H42" s="15"/>
      <c r="I42" s="15"/>
      <c r="J42" s="15"/>
      <c r="K42" s="15"/>
      <c r="L42" s="15"/>
      <c r="M42" s="15"/>
      <c r="N42" s="15"/>
      <c r="O42" s="15"/>
      <c r="P42" s="15"/>
      <c r="Q42" s="15"/>
      <c r="R42" s="15"/>
      <c r="S42" s="15"/>
      <c r="T42" s="15"/>
      <c r="U42" s="15"/>
      <c r="V42" s="15"/>
      <c r="W42" s="15"/>
      <c r="X42" s="15"/>
      <c r="Y42" s="15"/>
      <c r="Z42" s="15"/>
      <c r="AA42" s="15"/>
    </row>
    <row r="43" spans="4:27">
      <c r="D43" s="15"/>
      <c r="E43" s="15"/>
      <c r="F43" s="15"/>
      <c r="G43" s="15"/>
      <c r="H43" s="15"/>
      <c r="I43" s="15"/>
      <c r="J43" s="15"/>
      <c r="K43" s="15"/>
      <c r="L43" s="15"/>
      <c r="M43" s="15"/>
      <c r="N43" s="15"/>
      <c r="O43" s="15"/>
      <c r="P43" s="15"/>
      <c r="Q43" s="15"/>
      <c r="R43" s="15"/>
      <c r="S43" s="15"/>
      <c r="T43" s="15"/>
      <c r="U43" s="15"/>
      <c r="V43" s="15"/>
      <c r="W43" s="15"/>
      <c r="X43" s="15"/>
      <c r="Y43" s="15"/>
      <c r="Z43" s="15"/>
      <c r="AA43" s="15"/>
    </row>
    <row r="44" spans="4:27">
      <c r="D44" s="15"/>
      <c r="E44" s="15"/>
      <c r="F44" s="15"/>
      <c r="G44" s="15"/>
      <c r="H44" s="15"/>
      <c r="I44" s="15"/>
      <c r="J44" s="15"/>
      <c r="K44" s="15"/>
      <c r="L44" s="15"/>
      <c r="M44" s="15"/>
      <c r="N44" s="15"/>
      <c r="O44" s="15"/>
      <c r="P44" s="15"/>
      <c r="Q44" s="15"/>
      <c r="R44" s="15"/>
      <c r="S44" s="15"/>
      <c r="T44" s="15"/>
      <c r="U44" s="15"/>
      <c r="V44" s="15"/>
      <c r="W44" s="15"/>
      <c r="X44" s="15"/>
      <c r="Y44" s="15"/>
      <c r="Z44" s="15"/>
      <c r="AA44" s="15"/>
    </row>
    <row r="45" spans="4:27">
      <c r="D45" s="15"/>
      <c r="E45" s="15"/>
      <c r="F45" s="15"/>
      <c r="G45" s="15"/>
      <c r="H45" s="15"/>
      <c r="I45" s="15"/>
      <c r="J45" s="15"/>
      <c r="K45" s="15"/>
      <c r="L45" s="15"/>
      <c r="M45" s="15"/>
      <c r="N45" s="15"/>
      <c r="O45" s="15"/>
      <c r="P45" s="15"/>
      <c r="Q45" s="15"/>
      <c r="R45" s="15"/>
      <c r="S45" s="15"/>
      <c r="T45" s="15"/>
      <c r="U45" s="15"/>
      <c r="V45" s="15"/>
      <c r="W45" s="15"/>
      <c r="X45" s="15"/>
      <c r="Y45" s="15"/>
      <c r="Z45" s="15"/>
      <c r="AA45" s="15"/>
    </row>
    <row r="46" spans="4:27">
      <c r="D46" s="15"/>
      <c r="E46" s="15"/>
      <c r="F46" s="15"/>
      <c r="G46" s="15"/>
      <c r="H46" s="15"/>
      <c r="I46" s="15"/>
      <c r="J46" s="15"/>
      <c r="K46" s="15"/>
      <c r="L46" s="15"/>
      <c r="M46" s="15"/>
      <c r="N46" s="15"/>
      <c r="O46" s="15"/>
      <c r="P46" s="15"/>
      <c r="Q46" s="15"/>
      <c r="R46" s="15"/>
      <c r="S46" s="15"/>
      <c r="T46" s="15"/>
      <c r="U46" s="15"/>
      <c r="V46" s="15"/>
      <c r="W46" s="15"/>
      <c r="X46" s="15"/>
      <c r="Y46" s="15"/>
      <c r="Z46" s="15"/>
      <c r="AA46" s="15"/>
    </row>
    <row r="47" spans="4:27">
      <c r="D47" s="15"/>
      <c r="E47" s="15"/>
      <c r="F47" s="15"/>
      <c r="G47" s="15"/>
      <c r="H47" s="15"/>
      <c r="I47" s="15"/>
      <c r="J47" s="15"/>
      <c r="K47" s="15"/>
      <c r="L47" s="15"/>
      <c r="M47" s="15"/>
      <c r="N47" s="15"/>
      <c r="O47" s="15"/>
      <c r="P47" s="15"/>
      <c r="Q47" s="15"/>
      <c r="R47" s="15"/>
      <c r="S47" s="15"/>
      <c r="T47" s="15"/>
      <c r="U47" s="15"/>
      <c r="V47" s="15"/>
      <c r="W47" s="15"/>
      <c r="X47" s="15"/>
      <c r="Y47" s="15"/>
      <c r="Z47" s="15"/>
      <c r="AA47" s="15"/>
    </row>
    <row r="48" spans="4:27">
      <c r="D48" s="15"/>
      <c r="E48" s="15"/>
      <c r="F48" s="15"/>
      <c r="G48" s="15"/>
      <c r="H48" s="15"/>
      <c r="I48" s="15"/>
      <c r="J48" s="15"/>
      <c r="K48" s="15"/>
      <c r="L48" s="15"/>
      <c r="M48" s="15"/>
      <c r="N48" s="15"/>
      <c r="O48" s="15"/>
      <c r="P48" s="15"/>
      <c r="Q48" s="15"/>
      <c r="R48" s="15"/>
      <c r="S48" s="15"/>
      <c r="T48" s="15"/>
      <c r="U48" s="15"/>
      <c r="V48" s="15"/>
      <c r="W48" s="15"/>
      <c r="X48" s="15"/>
      <c r="Y48" s="15"/>
      <c r="Z48" s="15"/>
      <c r="AA48" s="15"/>
    </row>
    <row r="49" spans="4:27">
      <c r="D49" s="15"/>
      <c r="E49" s="15"/>
      <c r="F49" s="15"/>
      <c r="G49" s="15"/>
      <c r="H49" s="15"/>
      <c r="I49" s="15"/>
      <c r="J49" s="15"/>
      <c r="K49" s="15"/>
      <c r="L49" s="15"/>
      <c r="M49" s="15"/>
      <c r="N49" s="15"/>
      <c r="O49" s="15"/>
      <c r="P49" s="15"/>
      <c r="Q49" s="15"/>
      <c r="R49" s="15"/>
      <c r="S49" s="15"/>
      <c r="T49" s="15"/>
      <c r="U49" s="15"/>
      <c r="V49" s="15"/>
      <c r="W49" s="15"/>
      <c r="X49" s="15"/>
      <c r="Y49" s="15"/>
      <c r="Z49" s="15"/>
      <c r="AA49" s="15"/>
    </row>
    <row r="50" spans="4:27">
      <c r="D50" s="15"/>
      <c r="E50" s="15"/>
      <c r="F50" s="15"/>
      <c r="G50" s="15"/>
      <c r="H50" s="15"/>
      <c r="I50" s="15"/>
      <c r="J50" s="15"/>
      <c r="K50" s="15"/>
      <c r="L50" s="15"/>
      <c r="M50" s="15"/>
      <c r="N50" s="15"/>
      <c r="O50" s="15"/>
      <c r="P50" s="15"/>
      <c r="Q50" s="15"/>
      <c r="R50" s="15"/>
      <c r="S50" s="15"/>
      <c r="T50" s="15"/>
      <c r="U50" s="15"/>
      <c r="V50" s="15"/>
      <c r="W50" s="15"/>
      <c r="X50" s="15"/>
      <c r="Y50" s="15"/>
      <c r="Z50" s="15"/>
      <c r="AA50" s="15"/>
    </row>
    <row r="51" spans="4:27">
      <c r="D51" s="15"/>
      <c r="E51" s="15"/>
      <c r="F51" s="15"/>
      <c r="G51" s="15"/>
      <c r="H51" s="15"/>
      <c r="I51" s="15"/>
      <c r="J51" s="15"/>
      <c r="K51" s="15"/>
      <c r="L51" s="15"/>
      <c r="M51" s="15"/>
      <c r="N51" s="15"/>
      <c r="O51" s="15"/>
      <c r="P51" s="15"/>
      <c r="Q51" s="15"/>
      <c r="R51" s="15"/>
      <c r="S51" s="15"/>
      <c r="T51" s="15"/>
      <c r="U51" s="15"/>
      <c r="V51" s="15"/>
      <c r="W51" s="15"/>
      <c r="X51" s="15"/>
      <c r="Y51" s="15"/>
      <c r="Z51" s="15"/>
      <c r="AA51" s="15"/>
    </row>
    <row r="52" spans="4:27">
      <c r="D52" s="15"/>
      <c r="E52" s="15"/>
      <c r="F52" s="15"/>
      <c r="G52" s="15"/>
      <c r="H52" s="15"/>
      <c r="I52" s="15"/>
      <c r="J52" s="15"/>
      <c r="K52" s="15"/>
      <c r="L52" s="15"/>
      <c r="M52" s="15"/>
      <c r="N52" s="15"/>
      <c r="O52" s="15"/>
      <c r="P52" s="15"/>
      <c r="Q52" s="15"/>
      <c r="R52" s="15"/>
      <c r="S52" s="15"/>
      <c r="T52" s="15"/>
      <c r="U52" s="15"/>
      <c r="V52" s="15"/>
      <c r="W52" s="15"/>
      <c r="X52" s="15"/>
      <c r="Y52" s="15"/>
      <c r="Z52" s="15"/>
      <c r="AA52" s="15"/>
    </row>
    <row r="53" spans="4:27">
      <c r="D53" s="15"/>
      <c r="E53" s="15"/>
      <c r="F53" s="15"/>
      <c r="G53" s="15"/>
      <c r="H53" s="15"/>
      <c r="I53" s="15"/>
      <c r="J53" s="15"/>
      <c r="K53" s="15"/>
      <c r="L53" s="15"/>
      <c r="M53" s="15"/>
      <c r="N53" s="15"/>
      <c r="O53" s="15"/>
      <c r="P53" s="15"/>
      <c r="Q53" s="15"/>
      <c r="R53" s="15"/>
      <c r="S53" s="15"/>
      <c r="T53" s="15"/>
      <c r="U53" s="15"/>
      <c r="V53" s="15"/>
      <c r="W53" s="15"/>
      <c r="X53" s="15"/>
      <c r="Y53" s="15"/>
      <c r="Z53" s="15"/>
      <c r="AA53" s="15"/>
    </row>
    <row r="54" spans="4:27">
      <c r="D54" s="15"/>
      <c r="E54" s="15"/>
      <c r="F54" s="15"/>
      <c r="G54" s="15"/>
      <c r="H54" s="15"/>
      <c r="I54" s="15"/>
      <c r="J54" s="15"/>
      <c r="K54" s="15"/>
      <c r="L54" s="15"/>
      <c r="M54" s="15"/>
      <c r="N54" s="15"/>
      <c r="O54" s="15"/>
      <c r="P54" s="15"/>
      <c r="Q54" s="15"/>
      <c r="R54" s="15"/>
      <c r="S54" s="15"/>
      <c r="T54" s="15"/>
      <c r="U54" s="15"/>
      <c r="V54" s="15"/>
      <c r="W54" s="15"/>
      <c r="X54" s="15"/>
      <c r="Y54" s="15"/>
      <c r="Z54" s="15"/>
      <c r="AA54" s="15"/>
    </row>
    <row r="55" spans="4:27">
      <c r="D55" s="15"/>
      <c r="E55" s="15"/>
      <c r="F55" s="15"/>
      <c r="G55" s="15"/>
      <c r="H55" s="15"/>
      <c r="I55" s="15"/>
      <c r="J55" s="15"/>
      <c r="K55" s="15"/>
      <c r="L55" s="15"/>
      <c r="M55" s="15"/>
      <c r="N55" s="15"/>
      <c r="O55" s="15"/>
      <c r="P55" s="15"/>
      <c r="Q55" s="15"/>
      <c r="R55" s="15"/>
      <c r="S55" s="15"/>
      <c r="T55" s="15"/>
      <c r="U55" s="15"/>
      <c r="V55" s="15"/>
      <c r="W55" s="15"/>
      <c r="X55" s="15"/>
      <c r="Y55" s="15"/>
      <c r="Z55" s="15"/>
      <c r="AA55" s="15"/>
    </row>
    <row r="56" spans="4:27">
      <c r="D56" s="15"/>
      <c r="E56" s="15"/>
      <c r="F56" s="15"/>
      <c r="G56" s="15"/>
      <c r="H56" s="15"/>
      <c r="I56" s="15"/>
      <c r="J56" s="15"/>
      <c r="K56" s="15"/>
      <c r="L56" s="15"/>
      <c r="M56" s="15"/>
      <c r="N56" s="15"/>
      <c r="O56" s="15"/>
      <c r="P56" s="15"/>
      <c r="Q56" s="15"/>
      <c r="R56" s="15"/>
      <c r="S56" s="15"/>
      <c r="T56" s="15"/>
      <c r="U56" s="15"/>
      <c r="V56" s="15"/>
      <c r="W56" s="15"/>
      <c r="X56" s="15"/>
      <c r="Y56" s="15"/>
      <c r="Z56" s="15"/>
      <c r="AA56" s="15"/>
    </row>
    <row r="57" spans="4:27">
      <c r="D57" s="15"/>
      <c r="E57" s="15"/>
      <c r="F57" s="15"/>
      <c r="G57" s="15"/>
      <c r="H57" s="15"/>
      <c r="I57" s="15"/>
      <c r="J57" s="15"/>
      <c r="K57" s="15"/>
      <c r="L57" s="15"/>
      <c r="M57" s="15"/>
      <c r="N57" s="15"/>
      <c r="O57" s="15"/>
      <c r="P57" s="15"/>
      <c r="Q57" s="15"/>
      <c r="R57" s="15"/>
      <c r="S57" s="15"/>
      <c r="T57" s="15"/>
      <c r="U57" s="15"/>
      <c r="V57" s="15"/>
      <c r="W57" s="15"/>
      <c r="X57" s="15"/>
      <c r="Y57" s="15"/>
      <c r="Z57" s="15"/>
      <c r="AA57" s="15"/>
    </row>
    <row r="58" spans="4:27">
      <c r="D58" s="15"/>
      <c r="E58" s="15"/>
      <c r="F58" s="15"/>
      <c r="G58" s="15"/>
      <c r="H58" s="15"/>
      <c r="I58" s="15"/>
      <c r="J58" s="15"/>
      <c r="K58" s="15"/>
      <c r="L58" s="15"/>
      <c r="M58" s="15"/>
      <c r="N58" s="15"/>
      <c r="O58" s="15"/>
      <c r="P58" s="15"/>
      <c r="Q58" s="15"/>
      <c r="R58" s="15"/>
      <c r="S58" s="15"/>
      <c r="T58" s="15"/>
      <c r="U58" s="15"/>
      <c r="V58" s="15"/>
      <c r="W58" s="15"/>
      <c r="X58" s="15"/>
      <c r="Y58" s="15"/>
      <c r="Z58" s="15"/>
      <c r="AA58" s="15"/>
    </row>
    <row r="59" spans="4:27">
      <c r="D59" s="15"/>
      <c r="E59" s="15"/>
      <c r="F59" s="15"/>
      <c r="G59" s="15"/>
      <c r="H59" s="15"/>
      <c r="I59" s="15"/>
      <c r="J59" s="15"/>
      <c r="K59" s="15"/>
      <c r="L59" s="15"/>
      <c r="M59" s="15"/>
      <c r="N59" s="15"/>
      <c r="O59" s="15"/>
      <c r="P59" s="15"/>
      <c r="Q59" s="15"/>
      <c r="R59" s="15"/>
      <c r="S59" s="15"/>
      <c r="T59" s="15"/>
      <c r="U59" s="15"/>
      <c r="V59" s="15"/>
      <c r="W59" s="15"/>
      <c r="X59" s="15"/>
      <c r="Y59" s="15"/>
      <c r="Z59" s="15"/>
      <c r="AA59" s="15"/>
    </row>
    <row r="60" spans="4:27">
      <c r="D60" s="15"/>
      <c r="E60" s="15"/>
      <c r="F60" s="15"/>
      <c r="G60" s="15"/>
      <c r="H60" s="15"/>
      <c r="I60" s="15"/>
      <c r="J60" s="15"/>
      <c r="K60" s="15"/>
      <c r="L60" s="15"/>
      <c r="M60" s="15"/>
      <c r="N60" s="15"/>
      <c r="O60" s="15"/>
      <c r="P60" s="15"/>
      <c r="Q60" s="15"/>
      <c r="R60" s="15"/>
      <c r="S60" s="15"/>
      <c r="T60" s="15"/>
      <c r="U60" s="15"/>
      <c r="V60" s="15"/>
      <c r="W60" s="15"/>
      <c r="X60" s="15"/>
      <c r="Y60" s="15"/>
      <c r="Z60" s="15"/>
      <c r="AA60" s="15"/>
    </row>
    <row r="61" spans="4:27">
      <c r="D61" s="15"/>
      <c r="E61" s="15"/>
      <c r="F61" s="15"/>
      <c r="G61" s="15"/>
      <c r="H61" s="15"/>
      <c r="I61" s="15"/>
      <c r="J61" s="15"/>
      <c r="K61" s="15"/>
      <c r="L61" s="15"/>
      <c r="M61" s="15"/>
      <c r="N61" s="15"/>
      <c r="O61" s="15"/>
      <c r="P61" s="15"/>
      <c r="Q61" s="15"/>
      <c r="R61" s="15"/>
      <c r="S61" s="15"/>
      <c r="T61" s="15"/>
      <c r="U61" s="15"/>
      <c r="V61" s="15"/>
      <c r="W61" s="15"/>
      <c r="X61" s="15"/>
      <c r="Y61" s="15"/>
      <c r="Z61" s="15"/>
      <c r="AA61" s="15"/>
    </row>
    <row r="62" spans="4:27">
      <c r="D62" s="15"/>
      <c r="E62" s="15"/>
      <c r="F62" s="15"/>
      <c r="G62" s="15"/>
      <c r="H62" s="15"/>
      <c r="I62" s="15"/>
      <c r="J62" s="15"/>
      <c r="K62" s="15"/>
      <c r="L62" s="15"/>
      <c r="M62" s="15"/>
      <c r="N62" s="15"/>
      <c r="O62" s="15"/>
      <c r="P62" s="15"/>
      <c r="Q62" s="15"/>
      <c r="R62" s="15"/>
      <c r="S62" s="15"/>
      <c r="T62" s="15"/>
      <c r="U62" s="15"/>
      <c r="V62" s="15"/>
      <c r="W62" s="15"/>
      <c r="X62" s="15"/>
      <c r="Y62" s="15"/>
      <c r="Z62" s="15"/>
      <c r="AA62" s="15"/>
    </row>
    <row r="63" spans="4:27">
      <c r="D63" s="15"/>
      <c r="E63" s="15"/>
      <c r="F63" s="15"/>
      <c r="G63" s="15"/>
      <c r="H63" s="15"/>
      <c r="I63" s="15"/>
      <c r="J63" s="15"/>
      <c r="K63" s="15"/>
      <c r="L63" s="15"/>
      <c r="M63" s="15"/>
      <c r="N63" s="15"/>
      <c r="O63" s="15"/>
      <c r="P63" s="15"/>
      <c r="Q63" s="15"/>
      <c r="R63" s="15"/>
      <c r="S63" s="15"/>
      <c r="T63" s="15"/>
      <c r="U63" s="15"/>
      <c r="V63" s="15"/>
      <c r="W63" s="15"/>
      <c r="X63" s="15"/>
      <c r="Y63" s="15"/>
      <c r="Z63" s="15"/>
      <c r="AA63" s="15"/>
    </row>
    <row r="64" spans="4:27">
      <c r="D64" s="15"/>
      <c r="E64" s="15"/>
      <c r="F64" s="15"/>
      <c r="G64" s="15"/>
      <c r="H64" s="15"/>
      <c r="I64" s="15"/>
      <c r="J64" s="15"/>
      <c r="K64" s="15"/>
      <c r="L64" s="15"/>
      <c r="M64" s="15"/>
      <c r="N64" s="15"/>
      <c r="O64" s="15"/>
      <c r="P64" s="15"/>
      <c r="Q64" s="15"/>
      <c r="R64" s="15"/>
      <c r="S64" s="15"/>
      <c r="T64" s="15"/>
      <c r="U64" s="15"/>
      <c r="V64" s="15"/>
      <c r="W64" s="15"/>
      <c r="X64" s="15"/>
      <c r="Y64" s="15"/>
      <c r="Z64" s="15"/>
      <c r="AA64" s="15"/>
    </row>
    <row r="65" spans="4:27">
      <c r="D65" s="15"/>
      <c r="E65" s="15"/>
      <c r="F65" s="15"/>
      <c r="G65" s="15"/>
      <c r="H65" s="15"/>
      <c r="I65" s="15"/>
      <c r="J65" s="15"/>
      <c r="K65" s="15"/>
      <c r="L65" s="15"/>
      <c r="M65" s="15"/>
      <c r="N65" s="15"/>
      <c r="O65" s="15"/>
      <c r="P65" s="15"/>
      <c r="Q65" s="15"/>
      <c r="R65" s="15"/>
      <c r="S65" s="15"/>
      <c r="T65" s="15"/>
      <c r="U65" s="15"/>
      <c r="V65" s="15"/>
      <c r="W65" s="15"/>
      <c r="X65" s="15"/>
      <c r="Y65" s="15"/>
      <c r="Z65" s="15"/>
      <c r="AA65" s="15"/>
    </row>
    <row r="66" spans="4:27">
      <c r="D66" s="15"/>
      <c r="E66" s="15"/>
      <c r="F66" s="15"/>
      <c r="G66" s="15"/>
      <c r="H66" s="15"/>
      <c r="I66" s="15"/>
      <c r="J66" s="15"/>
      <c r="K66" s="15"/>
      <c r="L66" s="15"/>
      <c r="M66" s="15"/>
      <c r="N66" s="15"/>
      <c r="O66" s="15"/>
      <c r="P66" s="15"/>
      <c r="Q66" s="15"/>
      <c r="R66" s="15"/>
      <c r="S66" s="15"/>
      <c r="T66" s="15"/>
      <c r="U66" s="15"/>
      <c r="V66" s="15"/>
      <c r="W66" s="15"/>
      <c r="X66" s="15"/>
      <c r="Y66" s="15"/>
      <c r="Z66" s="15"/>
      <c r="AA66" s="15"/>
    </row>
    <row r="67" spans="4:27">
      <c r="D67" s="15"/>
      <c r="E67" s="15"/>
      <c r="F67" s="15"/>
      <c r="G67" s="15"/>
      <c r="H67" s="15"/>
      <c r="I67" s="15"/>
      <c r="J67" s="15"/>
      <c r="K67" s="15"/>
      <c r="L67" s="15"/>
      <c r="M67" s="15"/>
      <c r="N67" s="15"/>
      <c r="O67" s="15"/>
      <c r="P67" s="15"/>
      <c r="Q67" s="15"/>
      <c r="R67" s="15"/>
      <c r="S67" s="15"/>
      <c r="T67" s="15"/>
      <c r="U67" s="15"/>
      <c r="V67" s="15"/>
      <c r="W67" s="15"/>
      <c r="X67" s="15"/>
      <c r="Y67" s="15"/>
      <c r="Z67" s="15"/>
      <c r="AA67" s="15"/>
    </row>
    <row r="68" spans="4:27">
      <c r="D68" s="15"/>
      <c r="E68" s="15"/>
      <c r="F68" s="15"/>
      <c r="G68" s="15"/>
      <c r="H68" s="15"/>
      <c r="I68" s="15"/>
      <c r="J68" s="15"/>
      <c r="K68" s="15"/>
      <c r="L68" s="15"/>
      <c r="M68" s="15"/>
      <c r="N68" s="15"/>
      <c r="O68" s="15"/>
      <c r="P68" s="15"/>
      <c r="Q68" s="15"/>
      <c r="R68" s="15"/>
      <c r="S68" s="15"/>
      <c r="T68" s="15"/>
      <c r="U68" s="15"/>
      <c r="V68" s="15"/>
      <c r="W68" s="15"/>
      <c r="X68" s="15"/>
      <c r="Y68" s="15"/>
      <c r="Z68" s="15"/>
      <c r="AA68" s="15"/>
    </row>
    <row r="69" spans="4:27">
      <c r="D69" s="15"/>
      <c r="E69" s="15"/>
      <c r="F69" s="15"/>
      <c r="G69" s="15"/>
      <c r="H69" s="15"/>
      <c r="I69" s="15"/>
      <c r="J69" s="15"/>
      <c r="K69" s="15"/>
      <c r="L69" s="15"/>
      <c r="M69" s="15"/>
      <c r="N69" s="15"/>
      <c r="O69" s="15"/>
      <c r="P69" s="15"/>
      <c r="Q69" s="15"/>
      <c r="R69" s="15"/>
      <c r="S69" s="15"/>
      <c r="T69" s="15"/>
      <c r="U69" s="15"/>
      <c r="V69" s="15"/>
      <c r="W69" s="15"/>
      <c r="X69" s="15"/>
      <c r="Y69" s="15"/>
      <c r="Z69" s="15"/>
      <c r="AA69" s="15"/>
    </row>
    <row r="70" spans="4:27">
      <c r="D70" s="15"/>
      <c r="E70" s="15"/>
      <c r="F70" s="15"/>
      <c r="G70" s="15"/>
      <c r="H70" s="15"/>
      <c r="I70" s="15"/>
      <c r="J70" s="15"/>
      <c r="K70" s="15"/>
      <c r="L70" s="15"/>
      <c r="M70" s="15"/>
      <c r="N70" s="15"/>
      <c r="O70" s="15"/>
      <c r="P70" s="15"/>
      <c r="Q70" s="15"/>
      <c r="R70" s="15"/>
      <c r="S70" s="15"/>
      <c r="T70" s="15"/>
      <c r="U70" s="15"/>
      <c r="V70" s="15"/>
      <c r="W70" s="15"/>
      <c r="X70" s="15"/>
      <c r="Y70" s="15"/>
      <c r="Z70" s="15"/>
      <c r="AA70" s="15"/>
    </row>
    <row r="71" spans="4:27">
      <c r="D71" s="15"/>
      <c r="E71" s="15"/>
      <c r="F71" s="15"/>
      <c r="G71" s="15"/>
      <c r="H71" s="15"/>
      <c r="I71" s="15"/>
      <c r="J71" s="15"/>
      <c r="K71" s="15"/>
      <c r="L71" s="15"/>
      <c r="M71" s="15"/>
      <c r="N71" s="15"/>
      <c r="O71" s="15"/>
      <c r="P71" s="15"/>
      <c r="Q71" s="15"/>
      <c r="R71" s="15"/>
      <c r="S71" s="15"/>
      <c r="T71" s="15"/>
      <c r="U71" s="15"/>
      <c r="V71" s="15"/>
      <c r="W71" s="15"/>
      <c r="X71" s="15"/>
      <c r="Y71" s="15"/>
      <c r="Z71" s="15"/>
      <c r="AA71" s="15"/>
    </row>
    <row r="72" spans="4:27">
      <c r="D72" s="15"/>
      <c r="E72" s="15"/>
      <c r="F72" s="15"/>
      <c r="G72" s="15"/>
      <c r="H72" s="15"/>
      <c r="I72" s="15"/>
      <c r="J72" s="15"/>
      <c r="K72" s="15"/>
      <c r="L72" s="15"/>
      <c r="M72" s="15"/>
      <c r="N72" s="15"/>
      <c r="O72" s="15"/>
      <c r="P72" s="15"/>
      <c r="Q72" s="15"/>
      <c r="R72" s="15"/>
      <c r="S72" s="15"/>
      <c r="T72" s="15"/>
      <c r="U72" s="15"/>
      <c r="V72" s="15"/>
      <c r="W72" s="15"/>
      <c r="X72" s="15"/>
      <c r="Y72" s="15"/>
      <c r="Z72" s="15"/>
      <c r="AA72" s="15"/>
    </row>
    <row r="73" spans="4:27">
      <c r="D73" s="15"/>
      <c r="E73" s="15"/>
      <c r="F73" s="15"/>
      <c r="G73" s="15"/>
      <c r="H73" s="15"/>
      <c r="I73" s="15"/>
      <c r="J73" s="15"/>
      <c r="K73" s="15"/>
      <c r="L73" s="15"/>
      <c r="M73" s="15"/>
      <c r="N73" s="15"/>
      <c r="O73" s="15"/>
      <c r="P73" s="15"/>
      <c r="Q73" s="15"/>
      <c r="R73" s="15"/>
      <c r="S73" s="15"/>
      <c r="T73" s="15"/>
      <c r="U73" s="15"/>
      <c r="V73" s="15"/>
      <c r="W73" s="15"/>
      <c r="X73" s="15"/>
      <c r="Y73" s="15"/>
      <c r="Z73" s="15"/>
      <c r="AA73" s="15"/>
    </row>
    <row r="74" spans="4:27">
      <c r="D74" s="15"/>
      <c r="E74" s="15"/>
      <c r="F74" s="15"/>
      <c r="G74" s="15"/>
      <c r="H74" s="15"/>
      <c r="I74" s="15"/>
      <c r="J74" s="15"/>
      <c r="K74" s="15"/>
      <c r="L74" s="15"/>
      <c r="M74" s="15"/>
      <c r="N74" s="15"/>
      <c r="O74" s="15"/>
      <c r="P74" s="15"/>
      <c r="Q74" s="15"/>
      <c r="R74" s="15"/>
      <c r="S74" s="15"/>
      <c r="T74" s="15"/>
      <c r="U74" s="15"/>
      <c r="V74" s="15"/>
      <c r="W74" s="15"/>
      <c r="X74" s="15"/>
      <c r="Y74" s="15"/>
      <c r="Z74" s="15"/>
      <c r="AA74" s="15"/>
    </row>
    <row r="75" spans="4:27">
      <c r="D75" s="15"/>
      <c r="E75" s="15"/>
      <c r="F75" s="15"/>
      <c r="G75" s="15"/>
      <c r="H75" s="15"/>
      <c r="I75" s="15"/>
      <c r="J75" s="15"/>
      <c r="K75" s="15"/>
      <c r="L75" s="15"/>
      <c r="M75" s="15"/>
      <c r="N75" s="15"/>
      <c r="O75" s="15"/>
      <c r="P75" s="15"/>
      <c r="Q75" s="15"/>
      <c r="R75" s="15"/>
      <c r="S75" s="15"/>
      <c r="T75" s="15"/>
      <c r="U75" s="15"/>
      <c r="V75" s="15"/>
      <c r="W75" s="15"/>
      <c r="X75" s="15"/>
      <c r="Y75" s="15"/>
      <c r="Z75" s="15"/>
      <c r="AA75" s="15"/>
    </row>
    <row r="76" spans="4:27">
      <c r="D76" s="15"/>
      <c r="E76" s="15"/>
      <c r="F76" s="15"/>
      <c r="G76" s="15"/>
      <c r="H76" s="15"/>
      <c r="I76" s="15"/>
      <c r="J76" s="15"/>
      <c r="K76" s="15"/>
      <c r="L76" s="15"/>
      <c r="M76" s="15"/>
      <c r="N76" s="15"/>
      <c r="O76" s="15"/>
      <c r="P76" s="15"/>
      <c r="Q76" s="15"/>
      <c r="R76" s="15"/>
      <c r="S76" s="15"/>
      <c r="T76" s="15"/>
      <c r="U76" s="15"/>
      <c r="V76" s="15"/>
      <c r="W76" s="15"/>
      <c r="X76" s="15"/>
      <c r="Y76" s="15"/>
      <c r="Z76" s="15"/>
      <c r="AA76" s="15"/>
    </row>
    <row r="77" spans="4:27">
      <c r="D77" s="15"/>
      <c r="E77" s="15"/>
      <c r="F77" s="15"/>
      <c r="G77" s="15"/>
      <c r="H77" s="15"/>
      <c r="I77" s="15"/>
      <c r="J77" s="15"/>
      <c r="K77" s="15"/>
      <c r="L77" s="15"/>
      <c r="M77" s="15"/>
      <c r="N77" s="15"/>
      <c r="O77" s="15"/>
      <c r="P77" s="15"/>
      <c r="Q77" s="15"/>
      <c r="R77" s="15"/>
      <c r="S77" s="15"/>
      <c r="T77" s="15"/>
      <c r="U77" s="15"/>
      <c r="V77" s="15"/>
      <c r="W77" s="15"/>
      <c r="X77" s="15"/>
      <c r="Y77" s="15"/>
      <c r="Z77" s="15"/>
      <c r="AA77" s="15"/>
    </row>
    <row r="78" spans="4:27">
      <c r="D78" s="15"/>
      <c r="E78" s="15"/>
      <c r="F78" s="15"/>
      <c r="G78" s="15"/>
      <c r="H78" s="15"/>
      <c r="I78" s="15"/>
      <c r="J78" s="15"/>
      <c r="K78" s="15"/>
      <c r="L78" s="15"/>
      <c r="M78" s="15"/>
      <c r="N78" s="15"/>
      <c r="O78" s="15"/>
      <c r="P78" s="15"/>
      <c r="Q78" s="15"/>
      <c r="R78" s="15"/>
      <c r="S78" s="15"/>
      <c r="T78" s="15"/>
      <c r="U78" s="15"/>
      <c r="V78" s="15"/>
      <c r="W78" s="15"/>
      <c r="X78" s="15"/>
      <c r="Y78" s="15"/>
      <c r="Z78" s="15"/>
      <c r="AA78" s="15"/>
    </row>
    <row r="79" spans="4:27">
      <c r="D79" s="15"/>
      <c r="E79" s="15"/>
      <c r="F79" s="15"/>
      <c r="G79" s="15"/>
      <c r="H79" s="15"/>
      <c r="I79" s="15"/>
      <c r="J79" s="15"/>
      <c r="K79" s="15"/>
      <c r="L79" s="15"/>
      <c r="M79" s="15"/>
      <c r="N79" s="15"/>
      <c r="O79" s="15"/>
      <c r="P79" s="15"/>
      <c r="Q79" s="15"/>
      <c r="R79" s="15"/>
      <c r="S79" s="15"/>
      <c r="T79" s="15"/>
      <c r="U79" s="15"/>
      <c r="V79" s="15"/>
      <c r="W79" s="15"/>
      <c r="X79" s="15"/>
      <c r="Y79" s="15"/>
      <c r="Z79" s="15"/>
      <c r="AA79" s="15"/>
    </row>
    <row r="80" spans="4:27">
      <c r="D80" s="15"/>
      <c r="E80" s="15"/>
      <c r="F80" s="15"/>
      <c r="G80" s="15"/>
      <c r="H80" s="15"/>
      <c r="I80" s="15"/>
      <c r="J80" s="15"/>
      <c r="K80" s="15"/>
      <c r="L80" s="15"/>
      <c r="M80" s="15"/>
      <c r="N80" s="15"/>
      <c r="O80" s="15"/>
      <c r="P80" s="15"/>
      <c r="Q80" s="15"/>
      <c r="R80" s="15"/>
      <c r="S80" s="15"/>
      <c r="T80" s="15"/>
      <c r="U80" s="15"/>
      <c r="V80" s="15"/>
      <c r="W80" s="15"/>
      <c r="X80" s="15"/>
      <c r="Y80" s="15"/>
      <c r="Z80" s="15"/>
      <c r="AA80" s="15"/>
    </row>
    <row r="81" spans="4:27">
      <c r="D81" s="15"/>
      <c r="E81" s="15"/>
      <c r="F81" s="15"/>
      <c r="G81" s="15"/>
      <c r="H81" s="15"/>
      <c r="I81" s="15"/>
      <c r="J81" s="15"/>
      <c r="K81" s="15"/>
      <c r="L81" s="15"/>
      <c r="M81" s="15"/>
      <c r="N81" s="15"/>
      <c r="O81" s="15"/>
      <c r="P81" s="15"/>
      <c r="Q81" s="15"/>
      <c r="R81" s="15"/>
      <c r="S81" s="15"/>
      <c r="T81" s="15"/>
      <c r="U81" s="15"/>
      <c r="V81" s="15"/>
      <c r="W81" s="15"/>
      <c r="X81" s="15"/>
      <c r="Y81" s="15"/>
      <c r="Z81" s="15"/>
      <c r="AA81" s="15"/>
    </row>
    <row r="82" spans="4:27">
      <c r="D82" s="15"/>
      <c r="E82" s="15"/>
      <c r="F82" s="15"/>
      <c r="G82" s="15"/>
      <c r="H82" s="15"/>
      <c r="I82" s="15"/>
      <c r="J82" s="15"/>
      <c r="K82" s="15"/>
      <c r="L82" s="15"/>
      <c r="M82" s="15"/>
      <c r="N82" s="15"/>
      <c r="O82" s="15"/>
      <c r="P82" s="15"/>
      <c r="Q82" s="15"/>
      <c r="R82" s="15"/>
      <c r="S82" s="15"/>
      <c r="T82" s="15"/>
      <c r="U82" s="15"/>
      <c r="V82" s="15"/>
      <c r="W82" s="15"/>
      <c r="X82" s="15"/>
      <c r="Y82" s="15"/>
      <c r="Z82" s="15"/>
      <c r="AA82" s="15"/>
    </row>
    <row r="83" spans="4:27">
      <c r="D83" s="15"/>
      <c r="E83" s="15"/>
      <c r="F83" s="15"/>
      <c r="G83" s="15"/>
      <c r="H83" s="15"/>
      <c r="I83" s="15"/>
      <c r="J83" s="15"/>
      <c r="K83" s="15"/>
      <c r="L83" s="15"/>
      <c r="M83" s="15"/>
      <c r="N83" s="15"/>
      <c r="O83" s="15"/>
      <c r="P83" s="15"/>
      <c r="Q83" s="15"/>
      <c r="R83" s="15"/>
      <c r="S83" s="15"/>
      <c r="T83" s="15"/>
      <c r="U83" s="15"/>
      <c r="V83" s="15"/>
      <c r="W83" s="15"/>
      <c r="X83" s="15"/>
      <c r="Y83" s="15"/>
      <c r="Z83" s="15"/>
      <c r="AA83" s="15"/>
    </row>
    <row r="84" spans="4:27">
      <c r="D84" s="15"/>
      <c r="E84" s="15"/>
      <c r="F84" s="15"/>
      <c r="G84" s="15"/>
      <c r="H84" s="15"/>
      <c r="I84" s="15"/>
      <c r="J84" s="15"/>
      <c r="K84" s="15"/>
      <c r="L84" s="15"/>
      <c r="M84" s="15"/>
      <c r="N84" s="15"/>
      <c r="O84" s="15"/>
      <c r="P84" s="15"/>
      <c r="Q84" s="15"/>
      <c r="R84" s="15"/>
      <c r="S84" s="15"/>
      <c r="T84" s="15"/>
      <c r="U84" s="15"/>
      <c r="V84" s="15"/>
      <c r="W84" s="15"/>
      <c r="X84" s="15"/>
      <c r="Y84" s="15"/>
      <c r="Z84" s="15"/>
      <c r="AA84" s="15"/>
    </row>
    <row r="85" spans="4:27">
      <c r="D85" s="15"/>
      <c r="E85" s="15"/>
      <c r="F85" s="15"/>
      <c r="G85" s="15"/>
      <c r="H85" s="15"/>
      <c r="I85" s="15"/>
      <c r="J85" s="15"/>
      <c r="K85" s="15"/>
      <c r="L85" s="15"/>
      <c r="M85" s="15"/>
      <c r="N85" s="15"/>
      <c r="O85" s="15"/>
      <c r="P85" s="15"/>
      <c r="Q85" s="15"/>
      <c r="R85" s="15"/>
      <c r="S85" s="15"/>
      <c r="T85" s="15"/>
      <c r="U85" s="15"/>
      <c r="V85" s="15"/>
      <c r="W85" s="15"/>
      <c r="X85" s="15"/>
      <c r="Y85" s="15"/>
      <c r="Z85" s="15"/>
      <c r="AA85" s="15"/>
    </row>
    <row r="86" spans="4:27">
      <c r="D86" s="15"/>
      <c r="E86" s="15"/>
      <c r="F86" s="15"/>
      <c r="G86" s="15"/>
      <c r="H86" s="15"/>
      <c r="I86" s="15"/>
      <c r="J86" s="15"/>
      <c r="K86" s="15"/>
      <c r="L86" s="15"/>
      <c r="M86" s="15"/>
      <c r="N86" s="15"/>
      <c r="O86" s="15"/>
      <c r="P86" s="15"/>
      <c r="Q86" s="15"/>
      <c r="R86" s="15"/>
      <c r="S86" s="15"/>
      <c r="T86" s="15"/>
      <c r="U86" s="15"/>
      <c r="V86" s="15"/>
      <c r="W86" s="15"/>
      <c r="X86" s="15"/>
      <c r="Y86" s="15"/>
      <c r="Z86" s="15"/>
      <c r="AA86" s="15"/>
    </row>
    <row r="87" spans="4:27">
      <c r="D87" s="15"/>
      <c r="E87" s="15"/>
      <c r="F87" s="15"/>
      <c r="G87" s="15"/>
      <c r="H87" s="15"/>
      <c r="I87" s="15"/>
      <c r="J87" s="15"/>
      <c r="K87" s="15"/>
      <c r="L87" s="15"/>
      <c r="M87" s="15"/>
      <c r="N87" s="15"/>
      <c r="O87" s="15"/>
      <c r="P87" s="15"/>
      <c r="Q87" s="15"/>
      <c r="R87" s="15"/>
      <c r="S87" s="15"/>
      <c r="T87" s="15"/>
      <c r="U87" s="15"/>
      <c r="V87" s="15"/>
      <c r="W87" s="15"/>
      <c r="X87" s="15"/>
      <c r="Y87" s="15"/>
      <c r="Z87" s="15"/>
      <c r="AA87" s="15"/>
    </row>
    <row r="88" spans="4:27">
      <c r="D88" s="15"/>
      <c r="E88" s="15"/>
      <c r="F88" s="15"/>
      <c r="G88" s="15"/>
      <c r="H88" s="15"/>
      <c r="I88" s="15"/>
      <c r="J88" s="15"/>
      <c r="K88" s="15"/>
      <c r="L88" s="15"/>
      <c r="M88" s="15"/>
      <c r="N88" s="15"/>
      <c r="O88" s="15"/>
      <c r="P88" s="15"/>
      <c r="Q88" s="15"/>
      <c r="R88" s="15"/>
      <c r="S88" s="15"/>
      <c r="T88" s="15"/>
      <c r="U88" s="15"/>
      <c r="V88" s="15"/>
      <c r="W88" s="15"/>
      <c r="X88" s="15"/>
      <c r="Y88" s="15"/>
      <c r="Z88" s="15"/>
      <c r="AA88" s="15"/>
    </row>
    <row r="89" spans="4:27">
      <c r="D89" s="15"/>
      <c r="E89" s="15"/>
      <c r="F89" s="15"/>
      <c r="G89" s="15"/>
      <c r="H89" s="15"/>
      <c r="I89" s="15"/>
      <c r="J89" s="15"/>
      <c r="K89" s="15"/>
      <c r="L89" s="15"/>
      <c r="M89" s="15"/>
      <c r="N89" s="15"/>
      <c r="O89" s="15"/>
      <c r="P89" s="15"/>
      <c r="Q89" s="15"/>
      <c r="R89" s="15"/>
      <c r="S89" s="15"/>
      <c r="T89" s="15"/>
      <c r="U89" s="15"/>
      <c r="V89" s="15"/>
      <c r="W89" s="15"/>
      <c r="X89" s="15"/>
      <c r="Y89" s="15"/>
      <c r="Z89" s="15"/>
      <c r="AA89" s="15"/>
    </row>
    <row r="90" spans="4:27">
      <c r="D90" s="15"/>
      <c r="E90" s="15"/>
      <c r="F90" s="15"/>
      <c r="G90" s="15"/>
      <c r="H90" s="15"/>
      <c r="I90" s="15"/>
      <c r="J90" s="15"/>
      <c r="K90" s="15"/>
      <c r="L90" s="15"/>
      <c r="M90" s="15"/>
      <c r="N90" s="15"/>
      <c r="O90" s="15"/>
      <c r="P90" s="15"/>
      <c r="Q90" s="15"/>
      <c r="R90" s="15"/>
      <c r="S90" s="15"/>
      <c r="T90" s="15"/>
      <c r="U90" s="15"/>
      <c r="V90" s="15"/>
      <c r="W90" s="15"/>
      <c r="X90" s="15"/>
      <c r="Y90" s="15"/>
      <c r="Z90" s="15"/>
      <c r="AA90" s="15"/>
    </row>
    <row r="91" spans="4:27">
      <c r="D91" s="15"/>
      <c r="E91" s="15"/>
      <c r="F91" s="15"/>
      <c r="G91" s="15"/>
      <c r="H91" s="15"/>
      <c r="I91" s="15"/>
      <c r="J91" s="15"/>
      <c r="K91" s="15"/>
      <c r="L91" s="15"/>
      <c r="M91" s="15"/>
      <c r="N91" s="15"/>
      <c r="O91" s="15"/>
      <c r="P91" s="15"/>
      <c r="Q91" s="15"/>
      <c r="R91" s="15"/>
      <c r="S91" s="15"/>
      <c r="T91" s="15"/>
      <c r="U91" s="15"/>
      <c r="V91" s="15"/>
      <c r="W91" s="15"/>
      <c r="X91" s="15"/>
      <c r="Y91" s="15"/>
      <c r="Z91" s="15"/>
      <c r="AA91" s="15"/>
    </row>
    <row r="92" spans="4:27">
      <c r="D92" s="15"/>
      <c r="E92" s="15"/>
      <c r="F92" s="15"/>
      <c r="G92" s="15"/>
      <c r="H92" s="15"/>
      <c r="I92" s="15"/>
      <c r="J92" s="15"/>
      <c r="K92" s="15"/>
      <c r="L92" s="15"/>
      <c r="M92" s="15"/>
      <c r="N92" s="15"/>
      <c r="O92" s="15"/>
      <c r="P92" s="15"/>
      <c r="Q92" s="15"/>
      <c r="R92" s="15"/>
      <c r="S92" s="15"/>
      <c r="T92" s="15"/>
      <c r="U92" s="15"/>
      <c r="V92" s="15"/>
      <c r="W92" s="15"/>
      <c r="X92" s="15"/>
      <c r="Y92" s="15"/>
      <c r="Z92" s="15"/>
      <c r="AA92" s="15"/>
    </row>
    <row r="93" spans="4:27">
      <c r="D93" s="15"/>
      <c r="E93" s="15"/>
      <c r="F93" s="15"/>
      <c r="G93" s="15"/>
      <c r="H93" s="15"/>
      <c r="I93" s="15"/>
      <c r="J93" s="15"/>
      <c r="K93" s="15"/>
      <c r="L93" s="15"/>
      <c r="M93" s="15"/>
      <c r="N93" s="15"/>
      <c r="O93" s="15"/>
      <c r="P93" s="15"/>
      <c r="Q93" s="15"/>
      <c r="R93" s="15"/>
      <c r="S93" s="15"/>
      <c r="T93" s="15"/>
      <c r="U93" s="15"/>
      <c r="V93" s="15"/>
      <c r="W93" s="15"/>
      <c r="X93" s="15"/>
      <c r="Y93" s="15"/>
      <c r="Z93" s="15"/>
      <c r="AA93" s="15"/>
    </row>
    <row r="94" spans="4:27">
      <c r="D94" s="15"/>
      <c r="E94" s="15"/>
      <c r="F94" s="15"/>
      <c r="G94" s="15"/>
      <c r="H94" s="15"/>
      <c r="I94" s="15"/>
      <c r="J94" s="15"/>
      <c r="K94" s="15"/>
      <c r="L94" s="15"/>
      <c r="M94" s="15"/>
      <c r="N94" s="15"/>
      <c r="O94" s="15"/>
      <c r="P94" s="15"/>
      <c r="Q94" s="15"/>
      <c r="R94" s="15"/>
      <c r="S94" s="15"/>
      <c r="T94" s="15"/>
      <c r="U94" s="15"/>
      <c r="V94" s="15"/>
      <c r="W94" s="15"/>
      <c r="X94" s="15"/>
      <c r="Y94" s="15"/>
      <c r="Z94" s="15"/>
      <c r="AA94" s="15"/>
    </row>
    <row r="95" spans="4:27">
      <c r="D95" s="15"/>
      <c r="E95" s="15"/>
      <c r="F95" s="15"/>
      <c r="G95" s="15"/>
      <c r="H95" s="15"/>
      <c r="I95" s="15"/>
      <c r="J95" s="15"/>
      <c r="K95" s="15"/>
      <c r="L95" s="15"/>
      <c r="M95" s="15"/>
      <c r="N95" s="15"/>
      <c r="O95" s="15"/>
      <c r="P95" s="15"/>
      <c r="Q95" s="15"/>
      <c r="R95" s="15"/>
      <c r="S95" s="15"/>
      <c r="T95" s="15"/>
      <c r="U95" s="15"/>
      <c r="V95" s="15"/>
      <c r="W95" s="15"/>
      <c r="X95" s="15"/>
      <c r="Y95" s="15"/>
      <c r="Z95" s="15"/>
      <c r="AA95" s="15"/>
    </row>
    <row r="96" spans="4:27">
      <c r="D96" s="15"/>
      <c r="E96" s="15"/>
      <c r="F96" s="15"/>
      <c r="G96" s="15"/>
      <c r="H96" s="15"/>
      <c r="I96" s="15"/>
      <c r="J96" s="15"/>
      <c r="K96" s="15"/>
      <c r="L96" s="15"/>
      <c r="M96" s="15"/>
      <c r="N96" s="15"/>
      <c r="O96" s="15"/>
      <c r="P96" s="15"/>
      <c r="Q96" s="15"/>
      <c r="R96" s="15"/>
      <c r="S96" s="15"/>
      <c r="T96" s="15"/>
      <c r="U96" s="15"/>
      <c r="V96" s="15"/>
      <c r="W96" s="15"/>
      <c r="X96" s="15"/>
      <c r="Y96" s="15"/>
      <c r="Z96" s="15"/>
      <c r="AA96" s="15"/>
    </row>
    <row r="97" spans="4:27">
      <c r="D97" s="15"/>
      <c r="E97" s="15"/>
      <c r="F97" s="15"/>
      <c r="G97" s="15"/>
      <c r="H97" s="15"/>
      <c r="I97" s="15"/>
      <c r="J97" s="15"/>
      <c r="K97" s="15"/>
      <c r="L97" s="15"/>
      <c r="M97" s="15"/>
      <c r="N97" s="15"/>
      <c r="O97" s="15"/>
      <c r="P97" s="15"/>
      <c r="Q97" s="15"/>
      <c r="R97" s="15"/>
      <c r="S97" s="15"/>
      <c r="T97" s="15"/>
      <c r="U97" s="15"/>
      <c r="V97" s="15"/>
      <c r="W97" s="15"/>
      <c r="X97" s="15"/>
      <c r="Y97" s="15"/>
      <c r="Z97" s="15"/>
      <c r="AA97" s="15"/>
    </row>
    <row r="98" spans="4:27">
      <c r="D98" s="15"/>
      <c r="E98" s="15"/>
      <c r="F98" s="15"/>
      <c r="G98" s="15"/>
      <c r="H98" s="15"/>
      <c r="I98" s="15"/>
      <c r="J98" s="15"/>
      <c r="K98" s="15"/>
      <c r="L98" s="15"/>
      <c r="M98" s="15"/>
      <c r="N98" s="15"/>
      <c r="O98" s="15"/>
      <c r="P98" s="15"/>
      <c r="Q98" s="15"/>
      <c r="R98" s="15"/>
      <c r="S98" s="15"/>
      <c r="T98" s="15"/>
      <c r="U98" s="15"/>
      <c r="V98" s="15"/>
      <c r="W98" s="15"/>
      <c r="X98" s="15"/>
      <c r="Y98" s="15"/>
      <c r="Z98" s="15"/>
      <c r="AA98" s="15"/>
    </row>
    <row r="99" spans="4:27">
      <c r="D99" s="15"/>
      <c r="E99" s="15"/>
      <c r="F99" s="15"/>
      <c r="G99" s="15"/>
      <c r="H99" s="15"/>
      <c r="I99" s="15"/>
      <c r="J99" s="15"/>
      <c r="K99" s="15"/>
      <c r="L99" s="15"/>
      <c r="M99" s="15"/>
      <c r="N99" s="15"/>
      <c r="O99" s="15"/>
      <c r="P99" s="15"/>
      <c r="Q99" s="15"/>
      <c r="R99" s="15"/>
      <c r="S99" s="15"/>
      <c r="T99" s="15"/>
      <c r="U99" s="15"/>
      <c r="V99" s="15"/>
      <c r="W99" s="15"/>
      <c r="X99" s="15"/>
      <c r="Y99" s="15"/>
      <c r="Z99" s="15"/>
      <c r="AA99" s="15"/>
    </row>
    <row r="100" spans="4:27">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spans="4:27">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spans="4:27">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spans="4:27">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spans="4:27">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spans="4:27">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spans="4:27">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spans="4:27">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spans="4:27">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spans="4:27">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sheetData>
  <mergeCells count="12">
    <mergeCell ref="AZ3:BE3"/>
    <mergeCell ref="AT3:AY3"/>
    <mergeCell ref="B1:AS1"/>
    <mergeCell ref="B3:B4"/>
    <mergeCell ref="C3:C4"/>
    <mergeCell ref="D3:I3"/>
    <mergeCell ref="J3:O3"/>
    <mergeCell ref="P3:U3"/>
    <mergeCell ref="V3:AA3"/>
    <mergeCell ref="AB3:AG3"/>
    <mergeCell ref="AH3:AM3"/>
    <mergeCell ref="AN3:AS3"/>
  </mergeCells>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140"/>
  <sheetViews>
    <sheetView workbookViewId="0">
      <selection activeCell="D26" sqref="D26"/>
    </sheetView>
  </sheetViews>
  <sheetFormatPr defaultRowHeight="16.5"/>
  <cols>
    <col min="1" max="1" width="3.625" style="41" customWidth="1"/>
    <col min="2" max="2" width="5.375" style="41" customWidth="1"/>
    <col min="3" max="3" width="46.375" style="64" bestFit="1" customWidth="1"/>
    <col min="4" max="4" width="111.5" style="41" customWidth="1"/>
    <col min="5" max="5" width="9" style="41" customWidth="1"/>
    <col min="6" max="16384" width="9" style="41"/>
  </cols>
  <sheetData>
    <row r="1" spans="2:52" s="40" customFormat="1" ht="44.25" customHeight="1" thickBot="1">
      <c r="B1" s="250" t="s">
        <v>72</v>
      </c>
      <c r="C1" s="250"/>
      <c r="D1" s="250"/>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row>
    <row r="2" spans="2:52" ht="9" hidden="1" customHeight="1" thickBot="1"/>
    <row r="3" spans="2:52" s="42" customFormat="1" ht="24.75" customHeight="1" thickBot="1">
      <c r="B3" s="93" t="s">
        <v>1</v>
      </c>
      <c r="C3" s="94" t="s">
        <v>56</v>
      </c>
      <c r="D3" s="95" t="s">
        <v>64</v>
      </c>
    </row>
    <row r="4" spans="2:52" s="42" customFormat="1" ht="18.75" customHeight="1">
      <c r="B4" s="96">
        <v>1</v>
      </c>
      <c r="C4" s="183" t="s">
        <v>132</v>
      </c>
      <c r="D4" s="152" t="s">
        <v>332</v>
      </c>
    </row>
    <row r="5" spans="2:52" s="42" customFormat="1" ht="18.75" customHeight="1">
      <c r="B5" s="85">
        <v>2</v>
      </c>
      <c r="C5" s="181" t="s">
        <v>134</v>
      </c>
      <c r="D5" s="153" t="s">
        <v>333</v>
      </c>
    </row>
    <row r="6" spans="2:52" s="42" customFormat="1" ht="18.75" customHeight="1">
      <c r="B6" s="85">
        <v>3</v>
      </c>
      <c r="C6" s="181" t="s">
        <v>465</v>
      </c>
      <c r="D6" s="153" t="s">
        <v>334</v>
      </c>
    </row>
    <row r="7" spans="2:52" s="42" customFormat="1" ht="18.75" customHeight="1">
      <c r="B7" s="85">
        <v>4</v>
      </c>
      <c r="C7" s="181" t="s">
        <v>250</v>
      </c>
      <c r="D7" s="153" t="s">
        <v>335</v>
      </c>
    </row>
    <row r="8" spans="2:52" s="42" customFormat="1" ht="18.75" customHeight="1">
      <c r="B8" s="85">
        <v>5</v>
      </c>
      <c r="C8" s="181" t="s">
        <v>138</v>
      </c>
      <c r="D8" s="153" t="s">
        <v>336</v>
      </c>
    </row>
    <row r="9" spans="2:52" s="42" customFormat="1" ht="18.75" customHeight="1">
      <c r="B9" s="85">
        <v>6</v>
      </c>
      <c r="C9" s="181" t="s">
        <v>139</v>
      </c>
      <c r="D9" s="153" t="s">
        <v>337</v>
      </c>
    </row>
    <row r="10" spans="2:52" s="42" customFormat="1" ht="18.75" customHeight="1">
      <c r="B10" s="85">
        <v>7</v>
      </c>
      <c r="C10" s="181" t="s">
        <v>466</v>
      </c>
      <c r="D10" s="153" t="s">
        <v>338</v>
      </c>
    </row>
    <row r="11" spans="2:52" s="42" customFormat="1" ht="28.5" customHeight="1">
      <c r="B11" s="85">
        <v>8</v>
      </c>
      <c r="C11" s="184" t="s">
        <v>467</v>
      </c>
      <c r="D11" s="154" t="s">
        <v>339</v>
      </c>
    </row>
    <row r="12" spans="2:52" s="42" customFormat="1">
      <c r="B12" s="85">
        <v>9</v>
      </c>
      <c r="C12" s="181" t="s">
        <v>141</v>
      </c>
      <c r="D12" s="154" t="s">
        <v>325</v>
      </c>
    </row>
    <row r="13" spans="2:52" s="42" customFormat="1" ht="18.75" customHeight="1">
      <c r="B13" s="85">
        <v>10</v>
      </c>
      <c r="C13" s="181" t="s">
        <v>468</v>
      </c>
      <c r="D13" s="153" t="s">
        <v>326</v>
      </c>
    </row>
    <row r="14" spans="2:52" s="42" customFormat="1" ht="18.75" customHeight="1">
      <c r="B14" s="85">
        <v>11</v>
      </c>
      <c r="C14" s="181" t="s">
        <v>249</v>
      </c>
      <c r="D14" s="155" t="s">
        <v>327</v>
      </c>
    </row>
    <row r="15" spans="2:52" s="42" customFormat="1" ht="33.75" customHeight="1">
      <c r="B15" s="85">
        <v>12</v>
      </c>
      <c r="C15" s="181" t="s">
        <v>469</v>
      </c>
      <c r="D15" s="156" t="s">
        <v>328</v>
      </c>
    </row>
    <row r="16" spans="2:52" s="42" customFormat="1" ht="18.75" customHeight="1">
      <c r="B16" s="85">
        <v>13</v>
      </c>
      <c r="C16" s="181" t="s">
        <v>470</v>
      </c>
      <c r="D16" s="155" t="s">
        <v>329</v>
      </c>
    </row>
    <row r="17" spans="2:4" s="42" customFormat="1" ht="18.75" customHeight="1">
      <c r="B17" s="85">
        <v>14</v>
      </c>
      <c r="C17" s="180" t="s">
        <v>143</v>
      </c>
      <c r="D17" s="155" t="s">
        <v>330</v>
      </c>
    </row>
    <row r="18" spans="2:4" s="42" customFormat="1" ht="18.75" customHeight="1">
      <c r="B18" s="85">
        <v>15</v>
      </c>
      <c r="C18" s="184" t="s">
        <v>471</v>
      </c>
      <c r="D18" s="155" t="s">
        <v>331</v>
      </c>
    </row>
    <row r="19" spans="2:4" s="42" customFormat="1" ht="18.75" customHeight="1" thickBot="1">
      <c r="B19" s="85">
        <v>16</v>
      </c>
      <c r="C19" s="185" t="s">
        <v>145</v>
      </c>
      <c r="D19" s="153" t="s">
        <v>340</v>
      </c>
    </row>
    <row r="20" spans="2:4" s="42" customFormat="1" ht="18.75" customHeight="1">
      <c r="B20" s="85">
        <v>17</v>
      </c>
      <c r="C20" s="190"/>
      <c r="D20" s="153" t="s">
        <v>341</v>
      </c>
    </row>
    <row r="21" spans="2:4" s="42" customFormat="1" ht="18.75" customHeight="1">
      <c r="B21" s="85">
        <v>18</v>
      </c>
      <c r="C21" s="190"/>
      <c r="D21" s="153" t="s">
        <v>342</v>
      </c>
    </row>
    <row r="22" spans="2:4" s="42" customFormat="1" ht="18.75" customHeight="1">
      <c r="B22" s="85">
        <v>19</v>
      </c>
      <c r="C22" s="190"/>
      <c r="D22" s="153" t="s">
        <v>343</v>
      </c>
    </row>
    <row r="23" spans="2:4" s="42" customFormat="1" ht="18.75" customHeight="1">
      <c r="B23" s="85">
        <v>20</v>
      </c>
      <c r="C23" s="190"/>
      <c r="D23" s="154" t="s">
        <v>344</v>
      </c>
    </row>
    <row r="24" spans="2:4" s="42" customFormat="1" ht="18.75" customHeight="1">
      <c r="B24" s="85">
        <v>21</v>
      </c>
      <c r="C24" s="190"/>
      <c r="D24" s="153" t="s">
        <v>345</v>
      </c>
    </row>
    <row r="25" spans="2:4" s="42" customFormat="1" ht="18.75" customHeight="1">
      <c r="B25" s="85">
        <v>22</v>
      </c>
      <c r="C25" s="190"/>
      <c r="D25" s="153" t="s">
        <v>346</v>
      </c>
    </row>
    <row r="26" spans="2:4" s="42" customFormat="1" ht="18.75" customHeight="1">
      <c r="B26" s="85">
        <v>23</v>
      </c>
      <c r="C26" s="190"/>
      <c r="D26" s="153" t="s">
        <v>347</v>
      </c>
    </row>
    <row r="27" spans="2:4" s="42" customFormat="1" ht="18.75" customHeight="1">
      <c r="B27" s="85">
        <v>24</v>
      </c>
      <c r="C27" s="190"/>
      <c r="D27" s="153" t="s">
        <v>348</v>
      </c>
    </row>
    <row r="28" spans="2:4" s="42" customFormat="1" ht="18.75" customHeight="1">
      <c r="B28" s="85">
        <v>25</v>
      </c>
      <c r="C28" s="190"/>
      <c r="D28" s="153" t="s">
        <v>349</v>
      </c>
    </row>
    <row r="29" spans="2:4" s="42" customFormat="1" ht="18.75" customHeight="1">
      <c r="B29" s="85">
        <v>26</v>
      </c>
      <c r="C29" s="190"/>
      <c r="D29" s="153" t="s">
        <v>350</v>
      </c>
    </row>
    <row r="30" spans="2:4" s="42" customFormat="1" ht="18.75" customHeight="1">
      <c r="B30" s="85">
        <v>27</v>
      </c>
      <c r="C30" s="191"/>
      <c r="D30" s="154" t="s">
        <v>351</v>
      </c>
    </row>
    <row r="31" spans="2:4" s="42" customFormat="1" ht="18.75" customHeight="1">
      <c r="B31" s="85">
        <v>28</v>
      </c>
      <c r="C31" s="191"/>
      <c r="D31" s="154" t="s">
        <v>352</v>
      </c>
    </row>
    <row r="32" spans="2:4" s="42" customFormat="1" ht="18.75" customHeight="1">
      <c r="B32" s="85">
        <v>29</v>
      </c>
      <c r="C32" s="191"/>
      <c r="D32" s="154" t="s">
        <v>353</v>
      </c>
    </row>
    <row r="33" spans="1:6" s="42" customFormat="1" ht="18.75" customHeight="1">
      <c r="B33" s="85">
        <v>30</v>
      </c>
      <c r="C33" s="191"/>
      <c r="D33" s="154" t="s">
        <v>354</v>
      </c>
    </row>
    <row r="34" spans="1:6" s="42" customFormat="1" ht="18.75" customHeight="1">
      <c r="B34" s="85">
        <v>31</v>
      </c>
      <c r="C34" s="191"/>
      <c r="D34" s="154" t="s">
        <v>355</v>
      </c>
    </row>
    <row r="35" spans="1:6" s="42" customFormat="1" ht="18.75" customHeight="1">
      <c r="B35" s="85">
        <v>32</v>
      </c>
      <c r="C35" s="191"/>
      <c r="D35" s="154" t="s">
        <v>356</v>
      </c>
    </row>
    <row r="36" spans="1:6" s="42" customFormat="1" ht="18.75" customHeight="1">
      <c r="B36" s="85">
        <v>33</v>
      </c>
      <c r="C36" s="191"/>
      <c r="D36" s="154" t="s">
        <v>357</v>
      </c>
    </row>
    <row r="37" spans="1:6" s="42" customFormat="1" ht="18.75" customHeight="1">
      <c r="B37" s="85">
        <v>34</v>
      </c>
      <c r="C37" s="191"/>
      <c r="D37" s="154" t="s">
        <v>358</v>
      </c>
    </row>
    <row r="38" spans="1:6" s="42" customFormat="1" ht="18.75" customHeight="1">
      <c r="B38" s="85">
        <v>35</v>
      </c>
      <c r="C38" s="191"/>
      <c r="D38" s="154" t="s">
        <v>359</v>
      </c>
    </row>
    <row r="39" spans="1:6" s="42" customFormat="1" ht="18.75" customHeight="1">
      <c r="A39" s="43"/>
      <c r="B39" s="85">
        <v>36</v>
      </c>
      <c r="C39" s="191"/>
      <c r="D39" s="124" t="s">
        <v>360</v>
      </c>
      <c r="E39" s="43"/>
      <c r="F39" s="43"/>
    </row>
    <row r="40" spans="1:6" s="42" customFormat="1" ht="18.75" customHeight="1">
      <c r="B40" s="85">
        <v>37</v>
      </c>
      <c r="C40" s="191"/>
      <c r="D40" s="125" t="s">
        <v>361</v>
      </c>
    </row>
    <row r="41" spans="1:6" s="42" customFormat="1" ht="18.75" customHeight="1">
      <c r="A41" s="43"/>
      <c r="B41" s="85">
        <v>38</v>
      </c>
      <c r="C41" s="190"/>
      <c r="D41" s="125" t="s">
        <v>362</v>
      </c>
      <c r="E41" s="43"/>
      <c r="F41" s="43"/>
    </row>
    <row r="42" spans="1:6" s="42" customFormat="1">
      <c r="A42" s="43"/>
      <c r="B42" s="85">
        <v>39</v>
      </c>
      <c r="C42" s="190"/>
      <c r="D42" s="124" t="s">
        <v>363</v>
      </c>
      <c r="E42" s="43"/>
      <c r="F42" s="43"/>
    </row>
    <row r="43" spans="1:6" s="42" customFormat="1" ht="18.75" customHeight="1">
      <c r="A43" s="43"/>
      <c r="B43" s="85">
        <v>40</v>
      </c>
      <c r="C43" s="190"/>
      <c r="D43" s="125" t="s">
        <v>364</v>
      </c>
      <c r="E43" s="43"/>
      <c r="F43" s="43"/>
    </row>
    <row r="44" spans="1:6" s="42" customFormat="1" ht="18.75" customHeight="1">
      <c r="A44" s="43"/>
      <c r="B44" s="85">
        <v>41</v>
      </c>
      <c r="C44" s="190"/>
      <c r="D44" s="125" t="s">
        <v>365</v>
      </c>
      <c r="E44" s="43"/>
      <c r="F44" s="43"/>
    </row>
    <row r="45" spans="1:6" s="42" customFormat="1" ht="18.75" customHeight="1">
      <c r="A45" s="43"/>
      <c r="B45" s="85">
        <v>42</v>
      </c>
      <c r="C45" s="190"/>
      <c r="D45" s="125" t="s">
        <v>366</v>
      </c>
      <c r="E45" s="43"/>
      <c r="F45" s="43"/>
    </row>
    <row r="46" spans="1:6" s="42" customFormat="1" ht="18.75" customHeight="1">
      <c r="A46" s="43"/>
      <c r="B46" s="85">
        <v>43</v>
      </c>
      <c r="C46" s="190"/>
      <c r="D46" s="153" t="s">
        <v>367</v>
      </c>
      <c r="E46" s="43"/>
      <c r="F46" s="43"/>
    </row>
    <row r="47" spans="1:6" s="42" customFormat="1" ht="18.75" customHeight="1">
      <c r="A47" s="43"/>
      <c r="B47" s="85">
        <v>44</v>
      </c>
      <c r="C47" s="190"/>
      <c r="D47" s="153" t="s">
        <v>368</v>
      </c>
      <c r="E47" s="43"/>
      <c r="F47" s="43"/>
    </row>
    <row r="48" spans="1:6" s="42" customFormat="1" ht="18.75" customHeight="1">
      <c r="A48" s="43"/>
      <c r="B48" s="85">
        <v>45</v>
      </c>
      <c r="C48" s="190"/>
      <c r="D48" s="153" t="s">
        <v>369</v>
      </c>
      <c r="E48" s="43"/>
      <c r="F48" s="43"/>
    </row>
    <row r="49" spans="1:6" s="42" customFormat="1" ht="18.75" customHeight="1">
      <c r="A49" s="43"/>
      <c r="B49" s="85">
        <v>46</v>
      </c>
      <c r="C49" s="190"/>
      <c r="D49" s="153" t="s">
        <v>370</v>
      </c>
      <c r="E49" s="43"/>
      <c r="F49" s="43"/>
    </row>
    <row r="50" spans="1:6" s="42" customFormat="1" ht="18.75" customHeight="1">
      <c r="A50" s="43"/>
      <c r="B50" s="85">
        <v>47</v>
      </c>
      <c r="C50" s="190"/>
      <c r="D50" s="153" t="s">
        <v>371</v>
      </c>
      <c r="E50" s="43"/>
      <c r="F50" s="43"/>
    </row>
    <row r="51" spans="1:6" s="42" customFormat="1" ht="18.75" customHeight="1">
      <c r="A51" s="43"/>
      <c r="B51" s="85">
        <v>48</v>
      </c>
      <c r="C51" s="190"/>
      <c r="D51" s="153" t="s">
        <v>372</v>
      </c>
      <c r="E51" s="43"/>
      <c r="F51" s="43"/>
    </row>
    <row r="52" spans="1:6" s="42" customFormat="1" ht="18.75" customHeight="1">
      <c r="A52" s="43"/>
      <c r="B52" s="85">
        <v>49</v>
      </c>
      <c r="C52" s="190"/>
      <c r="D52" s="153" t="s">
        <v>373</v>
      </c>
      <c r="E52" s="43"/>
      <c r="F52" s="43"/>
    </row>
    <row r="53" spans="1:6" s="42" customFormat="1" ht="18.75" customHeight="1">
      <c r="A53" s="43"/>
      <c r="B53" s="85">
        <v>50</v>
      </c>
      <c r="C53" s="190"/>
      <c r="D53" s="153" t="s">
        <v>374</v>
      </c>
      <c r="E53" s="43"/>
      <c r="F53" s="43"/>
    </row>
    <row r="54" spans="1:6" s="42" customFormat="1" ht="18.75" customHeight="1">
      <c r="A54" s="43"/>
      <c r="B54" s="85">
        <v>51</v>
      </c>
      <c r="C54" s="190"/>
      <c r="D54" s="153" t="s">
        <v>375</v>
      </c>
      <c r="E54" s="43"/>
      <c r="F54" s="43"/>
    </row>
    <row r="55" spans="1:6" s="42" customFormat="1" ht="18.75" customHeight="1">
      <c r="A55" s="43"/>
      <c r="B55" s="85">
        <v>52</v>
      </c>
      <c r="C55" s="190"/>
      <c r="D55" s="153" t="s">
        <v>376</v>
      </c>
      <c r="E55" s="43"/>
      <c r="F55" s="43"/>
    </row>
    <row r="56" spans="1:6" s="42" customFormat="1" ht="21.75" customHeight="1">
      <c r="A56" s="43"/>
      <c r="B56" s="85">
        <v>53</v>
      </c>
      <c r="C56" s="190"/>
      <c r="D56" s="153" t="s">
        <v>377</v>
      </c>
      <c r="E56" s="43"/>
      <c r="F56" s="43"/>
    </row>
    <row r="57" spans="1:6" s="42" customFormat="1">
      <c r="A57" s="43"/>
      <c r="B57" s="85">
        <v>54</v>
      </c>
      <c r="C57" s="190"/>
      <c r="D57" s="154" t="s">
        <v>378</v>
      </c>
      <c r="E57" s="43"/>
      <c r="F57" s="43"/>
    </row>
    <row r="58" spans="1:6" s="42" customFormat="1" ht="18.75" customHeight="1">
      <c r="A58" s="43"/>
      <c r="B58" s="85">
        <v>55</v>
      </c>
      <c r="C58" s="190"/>
      <c r="D58" s="153" t="s">
        <v>379</v>
      </c>
      <c r="E58" s="43"/>
      <c r="F58" s="43"/>
    </row>
    <row r="59" spans="1:6" s="42" customFormat="1">
      <c r="A59" s="43"/>
      <c r="B59" s="85">
        <v>56</v>
      </c>
      <c r="C59" s="190"/>
      <c r="D59" s="154" t="s">
        <v>380</v>
      </c>
      <c r="E59" s="43"/>
      <c r="F59" s="43"/>
    </row>
    <row r="60" spans="1:6" s="42" customFormat="1">
      <c r="A60" s="43"/>
      <c r="B60" s="85">
        <v>57</v>
      </c>
      <c r="C60" s="190"/>
      <c r="D60" s="154" t="s">
        <v>381</v>
      </c>
      <c r="E60" s="43"/>
      <c r="F60" s="43"/>
    </row>
    <row r="61" spans="1:6" s="42" customFormat="1">
      <c r="A61" s="43"/>
      <c r="B61" s="85">
        <v>58</v>
      </c>
      <c r="C61" s="190"/>
      <c r="D61" s="154" t="s">
        <v>382</v>
      </c>
      <c r="E61" s="43"/>
      <c r="F61" s="43"/>
    </row>
    <row r="62" spans="1:6" s="42" customFormat="1">
      <c r="A62" s="43"/>
      <c r="B62" s="85">
        <v>59</v>
      </c>
      <c r="C62" s="190"/>
      <c r="D62" s="154" t="s">
        <v>383</v>
      </c>
      <c r="E62" s="43"/>
      <c r="F62" s="43"/>
    </row>
    <row r="63" spans="1:6" s="42" customFormat="1" ht="33">
      <c r="A63" s="43"/>
      <c r="B63" s="85">
        <v>60</v>
      </c>
      <c r="C63" s="190"/>
      <c r="D63" s="154" t="s">
        <v>384</v>
      </c>
      <c r="E63" s="43"/>
      <c r="F63" s="43"/>
    </row>
    <row r="64" spans="1:6" s="42" customFormat="1">
      <c r="A64" s="43"/>
      <c r="B64" s="85">
        <v>61</v>
      </c>
      <c r="C64" s="190"/>
      <c r="D64" s="154" t="s">
        <v>385</v>
      </c>
      <c r="E64" s="43"/>
      <c r="F64" s="43"/>
    </row>
    <row r="65" spans="1:6" s="42" customFormat="1">
      <c r="A65" s="43"/>
      <c r="B65" s="85">
        <v>62</v>
      </c>
      <c r="C65" s="190"/>
      <c r="D65" s="154" t="s">
        <v>386</v>
      </c>
      <c r="E65" s="43"/>
      <c r="F65" s="43"/>
    </row>
    <row r="66" spans="1:6" s="42" customFormat="1" ht="18.75" customHeight="1">
      <c r="A66" s="43"/>
      <c r="B66" s="85">
        <v>63</v>
      </c>
      <c r="C66" s="190"/>
      <c r="D66" s="153" t="s">
        <v>387</v>
      </c>
      <c r="E66" s="43"/>
      <c r="F66" s="43"/>
    </row>
    <row r="67" spans="1:6" s="42" customFormat="1" ht="18.75" customHeight="1">
      <c r="A67" s="43"/>
      <c r="B67" s="85">
        <v>64</v>
      </c>
      <c r="C67" s="190"/>
      <c r="D67" s="153" t="s">
        <v>388</v>
      </c>
      <c r="E67" s="43"/>
      <c r="F67" s="43"/>
    </row>
    <row r="68" spans="1:6" s="42" customFormat="1" ht="18.75" customHeight="1">
      <c r="A68" s="43"/>
      <c r="B68" s="85">
        <v>65</v>
      </c>
      <c r="C68" s="190"/>
      <c r="D68" s="153" t="s">
        <v>389</v>
      </c>
      <c r="E68" s="43"/>
      <c r="F68" s="43"/>
    </row>
    <row r="69" spans="1:6" s="42" customFormat="1" ht="18.75" customHeight="1">
      <c r="A69" s="43"/>
      <c r="B69" s="85">
        <v>66</v>
      </c>
      <c r="C69" s="190"/>
      <c r="D69" s="153" t="s">
        <v>390</v>
      </c>
      <c r="E69" s="43"/>
      <c r="F69" s="43"/>
    </row>
    <row r="70" spans="1:6" s="42" customFormat="1">
      <c r="A70" s="43"/>
      <c r="B70" s="85">
        <v>67</v>
      </c>
      <c r="C70" s="190"/>
      <c r="D70" s="154" t="s">
        <v>391</v>
      </c>
      <c r="E70" s="43"/>
      <c r="F70" s="43"/>
    </row>
    <row r="71" spans="1:6" s="42" customFormat="1" ht="18.75" customHeight="1">
      <c r="A71" s="43"/>
      <c r="B71" s="85">
        <v>68</v>
      </c>
      <c r="C71" s="190"/>
      <c r="D71" s="153" t="s">
        <v>392</v>
      </c>
      <c r="E71" s="43"/>
      <c r="F71" s="43"/>
    </row>
    <row r="72" spans="1:6" s="42" customFormat="1" ht="18.75" customHeight="1">
      <c r="A72" s="43"/>
      <c r="B72" s="85">
        <v>69</v>
      </c>
      <c r="C72" s="190"/>
      <c r="D72" s="153" t="s">
        <v>393</v>
      </c>
      <c r="E72" s="43"/>
      <c r="F72" s="43"/>
    </row>
    <row r="73" spans="1:6" s="42" customFormat="1">
      <c r="A73" s="43"/>
      <c r="B73" s="85">
        <v>70</v>
      </c>
      <c r="C73" s="190"/>
      <c r="D73" s="154" t="s">
        <v>394</v>
      </c>
      <c r="E73" s="43"/>
      <c r="F73" s="43"/>
    </row>
    <row r="74" spans="1:6" s="42" customFormat="1" ht="18.75" customHeight="1">
      <c r="A74" s="43"/>
      <c r="B74" s="85">
        <v>71</v>
      </c>
      <c r="C74" s="190"/>
      <c r="D74" s="153" t="s">
        <v>395</v>
      </c>
      <c r="E74" s="43"/>
      <c r="F74" s="43"/>
    </row>
    <row r="75" spans="1:6" s="42" customFormat="1" ht="18.75" customHeight="1">
      <c r="A75" s="43"/>
      <c r="B75" s="85">
        <v>72</v>
      </c>
      <c r="C75" s="190"/>
      <c r="D75" s="153" t="s">
        <v>396</v>
      </c>
      <c r="E75" s="43"/>
      <c r="F75" s="43"/>
    </row>
    <row r="76" spans="1:6" s="42" customFormat="1" ht="18.75" customHeight="1">
      <c r="A76" s="43"/>
      <c r="B76" s="85">
        <v>73</v>
      </c>
      <c r="C76" s="190"/>
      <c r="D76" s="153" t="s">
        <v>397</v>
      </c>
      <c r="E76" s="43"/>
      <c r="F76" s="43"/>
    </row>
    <row r="77" spans="1:6" s="42" customFormat="1" ht="18.75" customHeight="1">
      <c r="A77" s="43"/>
      <c r="B77" s="85">
        <v>74</v>
      </c>
      <c r="C77" s="190"/>
      <c r="D77" s="153" t="s">
        <v>398</v>
      </c>
      <c r="E77" s="43"/>
      <c r="F77" s="43"/>
    </row>
    <row r="78" spans="1:6" s="42" customFormat="1" ht="18.75" customHeight="1">
      <c r="A78" s="43"/>
      <c r="B78" s="85">
        <v>75</v>
      </c>
      <c r="C78" s="190"/>
      <c r="D78" s="153" t="s">
        <v>399</v>
      </c>
      <c r="E78" s="43"/>
      <c r="F78" s="43"/>
    </row>
    <row r="79" spans="1:6" s="42" customFormat="1" ht="18.75" customHeight="1">
      <c r="A79" s="43"/>
      <c r="B79" s="85">
        <v>76</v>
      </c>
      <c r="C79" s="190"/>
      <c r="D79" s="153" t="s">
        <v>400</v>
      </c>
      <c r="E79" s="43"/>
      <c r="F79" s="43"/>
    </row>
    <row r="80" spans="1:6" s="42" customFormat="1" ht="18.75" customHeight="1">
      <c r="A80" s="43"/>
      <c r="B80" s="85">
        <v>77</v>
      </c>
      <c r="C80" s="190"/>
      <c r="D80" s="153" t="s">
        <v>401</v>
      </c>
      <c r="E80" s="43"/>
      <c r="F80" s="43"/>
    </row>
    <row r="81" spans="1:6" s="42" customFormat="1" ht="18.75" customHeight="1">
      <c r="A81" s="43"/>
      <c r="B81" s="85">
        <v>78</v>
      </c>
      <c r="C81" s="190"/>
      <c r="D81" s="153" t="s">
        <v>402</v>
      </c>
      <c r="E81" s="43"/>
      <c r="F81" s="43"/>
    </row>
    <row r="82" spans="1:6" s="42" customFormat="1" ht="18.75" customHeight="1">
      <c r="A82" s="43"/>
      <c r="B82" s="85">
        <v>79</v>
      </c>
      <c r="C82" s="190"/>
      <c r="D82" s="153" t="s">
        <v>403</v>
      </c>
      <c r="E82" s="43"/>
      <c r="F82" s="43"/>
    </row>
    <row r="83" spans="1:6" s="42" customFormat="1" ht="18.75" customHeight="1">
      <c r="A83" s="43"/>
      <c r="B83" s="85">
        <v>80</v>
      </c>
      <c r="C83" s="190"/>
      <c r="D83" s="153" t="s">
        <v>404</v>
      </c>
      <c r="E83" s="43"/>
      <c r="F83" s="43"/>
    </row>
    <row r="84" spans="1:6" s="42" customFormat="1" ht="18.75" customHeight="1">
      <c r="A84" s="43"/>
      <c r="B84" s="85">
        <v>81</v>
      </c>
      <c r="C84" s="190"/>
      <c r="D84" s="153" t="s">
        <v>405</v>
      </c>
      <c r="E84" s="43"/>
      <c r="F84" s="43"/>
    </row>
    <row r="85" spans="1:6" s="42" customFormat="1" ht="18.75" customHeight="1">
      <c r="A85" s="43"/>
      <c r="B85" s="85">
        <v>82</v>
      </c>
      <c r="C85" s="190"/>
      <c r="D85" s="153" t="s">
        <v>406</v>
      </c>
      <c r="E85" s="43"/>
      <c r="F85" s="43"/>
    </row>
    <row r="86" spans="1:6" s="42" customFormat="1" ht="18.75" customHeight="1">
      <c r="A86" s="43"/>
      <c r="B86" s="85">
        <v>83</v>
      </c>
      <c r="C86" s="190"/>
      <c r="D86" s="153" t="s">
        <v>407</v>
      </c>
      <c r="E86" s="43"/>
      <c r="F86" s="43"/>
    </row>
    <row r="87" spans="1:6" s="42" customFormat="1" ht="18.75" customHeight="1">
      <c r="A87" s="43"/>
      <c r="B87" s="85">
        <v>84</v>
      </c>
      <c r="C87" s="190"/>
      <c r="D87" s="153" t="s">
        <v>408</v>
      </c>
      <c r="E87" s="43"/>
      <c r="F87" s="43"/>
    </row>
    <row r="88" spans="1:6" s="42" customFormat="1" ht="18.75" customHeight="1">
      <c r="A88" s="43"/>
      <c r="B88" s="85">
        <v>85</v>
      </c>
      <c r="C88" s="190"/>
      <c r="D88" s="153" t="s">
        <v>409</v>
      </c>
      <c r="E88" s="43"/>
      <c r="F88" s="43"/>
    </row>
    <row r="89" spans="1:6" ht="18.75" customHeight="1">
      <c r="A89" s="44"/>
      <c r="B89" s="85">
        <v>86</v>
      </c>
      <c r="C89" s="190"/>
      <c r="D89" s="153" t="s">
        <v>410</v>
      </c>
      <c r="E89" s="44"/>
      <c r="F89" s="44"/>
    </row>
    <row r="90" spans="1:6" ht="18.75" customHeight="1">
      <c r="A90" s="44"/>
      <c r="B90" s="85">
        <v>87</v>
      </c>
      <c r="C90" s="190"/>
      <c r="D90" s="153" t="s">
        <v>411</v>
      </c>
      <c r="E90" s="44"/>
      <c r="F90" s="44"/>
    </row>
    <row r="91" spans="1:6" ht="18.75" customHeight="1">
      <c r="A91" s="44"/>
      <c r="B91" s="85">
        <v>88</v>
      </c>
      <c r="C91" s="190"/>
      <c r="D91" s="153" t="s">
        <v>412</v>
      </c>
      <c r="E91" s="44"/>
      <c r="F91" s="44"/>
    </row>
    <row r="92" spans="1:6" ht="18.75" customHeight="1">
      <c r="A92" s="44"/>
      <c r="B92" s="85">
        <v>89</v>
      </c>
      <c r="C92" s="190"/>
      <c r="D92" s="153" t="s">
        <v>413</v>
      </c>
      <c r="E92" s="44"/>
      <c r="F92" s="44"/>
    </row>
    <row r="93" spans="1:6" ht="18.75" customHeight="1">
      <c r="A93" s="44"/>
      <c r="B93" s="85">
        <v>90</v>
      </c>
      <c r="C93" s="190"/>
      <c r="D93" s="125" t="s">
        <v>414</v>
      </c>
      <c r="E93" s="44"/>
      <c r="F93" s="44"/>
    </row>
    <row r="94" spans="1:6" ht="18.75" customHeight="1">
      <c r="A94" s="44"/>
      <c r="B94" s="85">
        <v>91</v>
      </c>
      <c r="C94" s="190"/>
      <c r="D94" s="125" t="s">
        <v>415</v>
      </c>
      <c r="E94" s="44"/>
      <c r="F94" s="44"/>
    </row>
    <row r="95" spans="1:6" ht="18.75" customHeight="1">
      <c r="A95" s="44"/>
      <c r="B95" s="85">
        <v>92</v>
      </c>
      <c r="C95" s="190"/>
      <c r="D95" s="125" t="s">
        <v>416</v>
      </c>
      <c r="E95" s="44"/>
      <c r="F95" s="44"/>
    </row>
    <row r="96" spans="1:6" ht="18.75" customHeight="1">
      <c r="A96" s="44"/>
      <c r="B96" s="85">
        <v>93</v>
      </c>
      <c r="C96" s="190"/>
      <c r="D96" s="157" t="s">
        <v>417</v>
      </c>
      <c r="E96" s="44"/>
      <c r="F96" s="44"/>
    </row>
    <row r="97" spans="1:6" ht="18.75" customHeight="1">
      <c r="A97" s="44"/>
      <c r="B97" s="85">
        <v>94</v>
      </c>
      <c r="C97" s="190"/>
      <c r="D97" s="153" t="s">
        <v>418</v>
      </c>
      <c r="E97" s="44"/>
      <c r="F97" s="44"/>
    </row>
    <row r="98" spans="1:6">
      <c r="B98" s="85">
        <v>95</v>
      </c>
      <c r="C98" s="190"/>
      <c r="D98" s="154" t="s">
        <v>419</v>
      </c>
    </row>
    <row r="99" spans="1:6" ht="18.75" customHeight="1">
      <c r="B99" s="85">
        <v>96</v>
      </c>
      <c r="C99" s="190"/>
      <c r="D99" s="125" t="s">
        <v>420</v>
      </c>
    </row>
    <row r="100" spans="1:6" ht="18.75" customHeight="1">
      <c r="B100" s="85">
        <v>97</v>
      </c>
      <c r="C100" s="190"/>
      <c r="D100" s="125" t="s">
        <v>421</v>
      </c>
    </row>
    <row r="101" spans="1:6">
      <c r="B101" s="85">
        <v>98</v>
      </c>
      <c r="C101" s="190"/>
      <c r="D101" s="154" t="s">
        <v>422</v>
      </c>
    </row>
    <row r="102" spans="1:6" ht="18.75" customHeight="1">
      <c r="B102" s="85">
        <v>99</v>
      </c>
      <c r="C102" s="190"/>
      <c r="D102" s="153" t="s">
        <v>423</v>
      </c>
    </row>
    <row r="103" spans="1:6" ht="18.75" customHeight="1">
      <c r="B103" s="85">
        <v>100</v>
      </c>
      <c r="C103" s="190"/>
      <c r="D103" s="153" t="s">
        <v>424</v>
      </c>
    </row>
    <row r="104" spans="1:6" ht="18.75" customHeight="1">
      <c r="B104" s="85">
        <v>101</v>
      </c>
      <c r="C104" s="190"/>
      <c r="D104" s="153" t="s">
        <v>425</v>
      </c>
    </row>
    <row r="105" spans="1:6" ht="18.75" customHeight="1">
      <c r="B105" s="85">
        <v>102</v>
      </c>
      <c r="C105" s="190"/>
      <c r="D105" s="153" t="s">
        <v>426</v>
      </c>
    </row>
    <row r="106" spans="1:6" ht="18.75" customHeight="1">
      <c r="B106" s="85">
        <v>103</v>
      </c>
      <c r="C106" s="190"/>
      <c r="D106" s="153" t="s">
        <v>427</v>
      </c>
    </row>
    <row r="107" spans="1:6" ht="18.75" customHeight="1">
      <c r="B107" s="85">
        <v>104</v>
      </c>
      <c r="C107" s="190"/>
      <c r="D107" s="153" t="s">
        <v>428</v>
      </c>
    </row>
    <row r="108" spans="1:6" ht="18.75" customHeight="1">
      <c r="B108" s="85">
        <v>105</v>
      </c>
      <c r="C108" s="190"/>
      <c r="D108" s="153" t="s">
        <v>429</v>
      </c>
    </row>
    <row r="109" spans="1:6" ht="33">
      <c r="B109" s="85">
        <v>106</v>
      </c>
      <c r="C109" s="190"/>
      <c r="D109" s="154" t="s">
        <v>430</v>
      </c>
    </row>
    <row r="110" spans="1:6">
      <c r="B110" s="85">
        <v>107</v>
      </c>
      <c r="C110" s="190"/>
      <c r="D110" s="153" t="s">
        <v>432</v>
      </c>
    </row>
    <row r="111" spans="1:6" ht="33">
      <c r="B111" s="85">
        <v>108</v>
      </c>
      <c r="C111" s="190"/>
      <c r="D111" s="154" t="s">
        <v>431</v>
      </c>
    </row>
    <row r="112" spans="1:6">
      <c r="B112" s="85">
        <v>109</v>
      </c>
      <c r="C112" s="190"/>
      <c r="D112" s="153" t="s">
        <v>433</v>
      </c>
    </row>
    <row r="113" spans="2:4">
      <c r="B113" s="85">
        <v>110</v>
      </c>
      <c r="C113" s="190"/>
      <c r="D113" s="153" t="s">
        <v>434</v>
      </c>
    </row>
    <row r="114" spans="2:4">
      <c r="B114" s="85">
        <v>111</v>
      </c>
      <c r="C114" s="190"/>
      <c r="D114" s="154" t="s">
        <v>435</v>
      </c>
    </row>
    <row r="115" spans="2:4">
      <c r="B115" s="85">
        <v>112</v>
      </c>
      <c r="C115" s="190"/>
      <c r="D115" s="153" t="s">
        <v>436</v>
      </c>
    </row>
    <row r="116" spans="2:4">
      <c r="B116" s="85">
        <v>113</v>
      </c>
      <c r="C116" s="190"/>
      <c r="D116" s="154" t="s">
        <v>437</v>
      </c>
    </row>
    <row r="117" spans="2:4">
      <c r="B117" s="85">
        <v>114</v>
      </c>
      <c r="C117" s="190"/>
      <c r="D117" s="125" t="s">
        <v>438</v>
      </c>
    </row>
    <row r="118" spans="2:4">
      <c r="B118" s="85">
        <v>115</v>
      </c>
      <c r="C118" s="190"/>
      <c r="D118" s="125" t="s">
        <v>439</v>
      </c>
    </row>
    <row r="119" spans="2:4">
      <c r="B119" s="85">
        <v>116</v>
      </c>
      <c r="C119" s="190"/>
      <c r="D119" s="125" t="s">
        <v>440</v>
      </c>
    </row>
    <row r="120" spans="2:4">
      <c r="B120" s="85">
        <v>117</v>
      </c>
      <c r="C120" s="190"/>
      <c r="D120" s="124" t="s">
        <v>441</v>
      </c>
    </row>
    <row r="121" spans="2:4">
      <c r="B121" s="85">
        <v>118</v>
      </c>
      <c r="C121" s="190"/>
      <c r="D121" s="125" t="s">
        <v>442</v>
      </c>
    </row>
    <row r="122" spans="2:4">
      <c r="B122" s="85">
        <v>119</v>
      </c>
      <c r="C122" s="190"/>
      <c r="D122" s="125" t="s">
        <v>443</v>
      </c>
    </row>
    <row r="123" spans="2:4">
      <c r="B123" s="85">
        <v>120</v>
      </c>
      <c r="C123" s="190"/>
      <c r="D123" s="125" t="s">
        <v>444</v>
      </c>
    </row>
    <row r="124" spans="2:4">
      <c r="B124" s="85">
        <v>121</v>
      </c>
      <c r="C124" s="190"/>
      <c r="D124" s="125" t="s">
        <v>445</v>
      </c>
    </row>
    <row r="125" spans="2:4">
      <c r="B125" s="85">
        <v>122</v>
      </c>
      <c r="C125" s="190"/>
      <c r="D125" s="125" t="s">
        <v>446</v>
      </c>
    </row>
    <row r="126" spans="2:4">
      <c r="B126" s="85">
        <v>123</v>
      </c>
      <c r="C126" s="190"/>
      <c r="D126" s="125" t="s">
        <v>447</v>
      </c>
    </row>
    <row r="127" spans="2:4">
      <c r="B127" s="85">
        <v>124</v>
      </c>
      <c r="C127" s="190"/>
      <c r="D127" s="125" t="s">
        <v>448</v>
      </c>
    </row>
    <row r="128" spans="2:4">
      <c r="B128" s="85">
        <v>125</v>
      </c>
      <c r="C128" s="192"/>
      <c r="D128" s="125" t="s">
        <v>449</v>
      </c>
    </row>
    <row r="129" spans="2:4">
      <c r="B129" s="85">
        <v>126</v>
      </c>
      <c r="C129" s="192"/>
      <c r="D129" s="125" t="s">
        <v>450</v>
      </c>
    </row>
    <row r="130" spans="2:4">
      <c r="B130" s="85">
        <v>127</v>
      </c>
      <c r="C130" s="192"/>
      <c r="D130" s="125" t="s">
        <v>451</v>
      </c>
    </row>
    <row r="131" spans="2:4">
      <c r="B131" s="85">
        <v>128</v>
      </c>
      <c r="C131" s="192"/>
      <c r="D131" s="125" t="s">
        <v>452</v>
      </c>
    </row>
    <row r="132" spans="2:4">
      <c r="B132" s="85">
        <v>129</v>
      </c>
      <c r="C132" s="192"/>
      <c r="D132" s="125" t="s">
        <v>453</v>
      </c>
    </row>
    <row r="133" spans="2:4">
      <c r="B133" s="85">
        <v>130</v>
      </c>
      <c r="C133" s="192"/>
      <c r="D133" s="125" t="s">
        <v>454</v>
      </c>
    </row>
    <row r="134" spans="2:4">
      <c r="B134" s="85">
        <v>131</v>
      </c>
      <c r="C134" s="192"/>
      <c r="D134" s="125" t="s">
        <v>455</v>
      </c>
    </row>
    <row r="135" spans="2:4">
      <c r="B135" s="85">
        <v>132</v>
      </c>
      <c r="C135" s="192"/>
      <c r="D135" s="125" t="s">
        <v>456</v>
      </c>
    </row>
    <row r="136" spans="2:4">
      <c r="B136" s="85">
        <v>133</v>
      </c>
      <c r="C136" s="192"/>
      <c r="D136" s="125" t="s">
        <v>457</v>
      </c>
    </row>
    <row r="137" spans="2:4">
      <c r="B137" s="85">
        <v>134</v>
      </c>
      <c r="C137" s="192"/>
      <c r="D137" s="125" t="s">
        <v>458</v>
      </c>
    </row>
    <row r="138" spans="2:4">
      <c r="B138" s="85">
        <v>135</v>
      </c>
      <c r="C138" s="192"/>
      <c r="D138" s="125" t="s">
        <v>459</v>
      </c>
    </row>
    <row r="139" spans="2:4">
      <c r="B139" s="85">
        <v>136</v>
      </c>
      <c r="C139" s="192"/>
      <c r="D139" s="125" t="s">
        <v>460</v>
      </c>
    </row>
    <row r="140" spans="2:4" ht="17.25" thickBot="1">
      <c r="B140" s="97">
        <v>137</v>
      </c>
      <c r="C140" s="193"/>
      <c r="D140" s="126" t="s">
        <v>461</v>
      </c>
    </row>
  </sheetData>
  <autoFilter ref="B3:D86"/>
  <mergeCells count="1">
    <mergeCell ref="B1:D1"/>
  </mergeCells>
  <phoneticPr fontId="2" type="noConversion"/>
  <pageMargins left="0.2" right="0.2" top="0.2" bottom="0.2" header="0" footer="0"/>
  <pageSetup paperSize="9" scale="6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24"/>
  <sheetViews>
    <sheetView workbookViewId="0">
      <selection activeCell="G27" sqref="G27"/>
    </sheetView>
  </sheetViews>
  <sheetFormatPr defaultRowHeight="14.25"/>
  <cols>
    <col min="1" max="1" width="3.625" customWidth="1"/>
    <col min="2" max="2" width="4.5" customWidth="1"/>
    <col min="3" max="3" width="9.75" customWidth="1"/>
    <col min="4" max="4" width="46.375" bestFit="1" customWidth="1"/>
    <col min="5" max="6" width="13.625" customWidth="1"/>
    <col min="7" max="7" width="13.625" style="2" customWidth="1"/>
    <col min="8" max="9" width="13.625" customWidth="1"/>
  </cols>
  <sheetData>
    <row r="1" spans="2:11" ht="45" customHeight="1">
      <c r="B1" s="251" t="s">
        <v>463</v>
      </c>
      <c r="C1" s="251"/>
      <c r="D1" s="251"/>
      <c r="E1" s="251"/>
      <c r="F1" s="251"/>
      <c r="G1" s="251"/>
      <c r="H1" s="251"/>
      <c r="I1" s="251"/>
    </row>
    <row r="2" spans="2:11" ht="30" customHeight="1" thickBot="1">
      <c r="I2" s="32" t="s">
        <v>116</v>
      </c>
    </row>
    <row r="3" spans="2:11" ht="26.25" customHeight="1">
      <c r="B3" s="4" t="s">
        <v>42</v>
      </c>
      <c r="C3" s="5" t="s">
        <v>65</v>
      </c>
      <c r="D3" s="5" t="s">
        <v>47</v>
      </c>
      <c r="E3" s="6" t="s">
        <v>48</v>
      </c>
      <c r="F3" s="5" t="s">
        <v>49</v>
      </c>
      <c r="G3" s="7" t="s">
        <v>46</v>
      </c>
      <c r="H3" s="5" t="s">
        <v>50</v>
      </c>
      <c r="I3" s="8" t="s">
        <v>51</v>
      </c>
    </row>
    <row r="4" spans="2:11" ht="23.25" customHeight="1" thickBot="1">
      <c r="B4" s="110"/>
      <c r="C4" s="9"/>
      <c r="D4" s="9" t="s">
        <v>75</v>
      </c>
      <c r="E4" s="111">
        <f>SUM(E5:E20)</f>
        <v>301</v>
      </c>
      <c r="F4" s="111">
        <f>SUM(F5:F20)</f>
        <v>266</v>
      </c>
      <c r="G4" s="112">
        <f>AVERAGE(G5:G20)</f>
        <v>0.82284685975571525</v>
      </c>
      <c r="H4" s="113">
        <f>SUM(H5:H20)</f>
        <v>217</v>
      </c>
      <c r="I4" s="114">
        <f>AVERAGE(I5:I19)</f>
        <v>0.80518906053688666</v>
      </c>
    </row>
    <row r="5" spans="2:11" ht="18.75" customHeight="1">
      <c r="B5" s="38">
        <v>1</v>
      </c>
      <c r="C5" s="242" t="s">
        <v>69</v>
      </c>
      <c r="D5" s="183" t="s">
        <v>132</v>
      </c>
      <c r="E5" s="211">
        <v>16</v>
      </c>
      <c r="F5" s="121">
        <v>12</v>
      </c>
      <c r="G5" s="115">
        <f>AVERAGE('개인별 출석현황'!I4:I15)</f>
        <v>0.72435897435897434</v>
      </c>
      <c r="H5" s="116">
        <f>COUNTIF('개인별 출석현황'!J4:J15,"수료")</f>
        <v>8</v>
      </c>
      <c r="I5" s="117">
        <f>H5/F5</f>
        <v>0.66666666666666663</v>
      </c>
      <c r="K5" s="86"/>
    </row>
    <row r="6" spans="2:11" ht="18.75" customHeight="1">
      <c r="B6" s="39">
        <v>2</v>
      </c>
      <c r="C6" s="237"/>
      <c r="D6" s="199" t="s">
        <v>134</v>
      </c>
      <c r="E6" s="194">
        <v>16</v>
      </c>
      <c r="F6" s="182">
        <v>6</v>
      </c>
      <c r="G6" s="100">
        <f>AVERAGE('개인별 출석현황'!I16:I21)</f>
        <v>0.85714285714285721</v>
      </c>
      <c r="H6" s="101">
        <f>COUNTIF('개인별 출석현황'!J16:J21,"수료")</f>
        <v>5</v>
      </c>
      <c r="I6" s="99">
        <f t="shared" ref="I6:I19" si="0">H6/F6</f>
        <v>0.83333333333333337</v>
      </c>
    </row>
    <row r="7" spans="2:11" ht="18.75" customHeight="1">
      <c r="B7" s="39">
        <v>3</v>
      </c>
      <c r="C7" s="237" t="s">
        <v>70</v>
      </c>
      <c r="D7" s="199" t="s">
        <v>465</v>
      </c>
      <c r="E7" s="194">
        <v>15</v>
      </c>
      <c r="F7" s="182">
        <v>12</v>
      </c>
      <c r="G7" s="100">
        <f>AVERAGE('개인별 출석현황'!I22:I33)</f>
        <v>0.89743589743589747</v>
      </c>
      <c r="H7" s="101">
        <f>COUNTIF('개인별 출석현황'!J22:J33,"수료")</f>
        <v>11</v>
      </c>
      <c r="I7" s="99">
        <f t="shared" si="0"/>
        <v>0.91666666666666663</v>
      </c>
    </row>
    <row r="8" spans="2:11" ht="18.75" customHeight="1">
      <c r="B8" s="39">
        <v>4</v>
      </c>
      <c r="C8" s="237"/>
      <c r="D8" s="199" t="s">
        <v>250</v>
      </c>
      <c r="E8" s="194">
        <v>16</v>
      </c>
      <c r="F8" s="182">
        <v>15</v>
      </c>
      <c r="G8" s="100">
        <f>AVERAGE('개인별 출석현황'!I34:I48)</f>
        <v>0.77142857142857157</v>
      </c>
      <c r="H8" s="101">
        <f>COUNTIF('개인별 출석현황'!J34:J48,"수료")</f>
        <v>11</v>
      </c>
      <c r="I8" s="99">
        <f t="shared" si="0"/>
        <v>0.73333333333333328</v>
      </c>
    </row>
    <row r="9" spans="2:11" ht="18.75" customHeight="1">
      <c r="B9" s="39">
        <v>5</v>
      </c>
      <c r="C9" s="237"/>
      <c r="D9" s="199" t="s">
        <v>138</v>
      </c>
      <c r="E9" s="194">
        <v>16</v>
      </c>
      <c r="F9" s="182">
        <v>15</v>
      </c>
      <c r="G9" s="100">
        <f>AVERAGE('개인별 출석현황'!I49:I63)</f>
        <v>0.82857142857142863</v>
      </c>
      <c r="H9" s="101">
        <f>COUNTIF('개인별 출석현황'!J49:J63,"수료")</f>
        <v>12</v>
      </c>
      <c r="I9" s="99">
        <f t="shared" si="0"/>
        <v>0.8</v>
      </c>
    </row>
    <row r="10" spans="2:11" ht="18.75" customHeight="1">
      <c r="B10" s="39">
        <v>6</v>
      </c>
      <c r="C10" s="237" t="s">
        <v>71</v>
      </c>
      <c r="D10" s="199" t="s">
        <v>139</v>
      </c>
      <c r="E10" s="194">
        <v>40</v>
      </c>
      <c r="F10" s="182">
        <v>39</v>
      </c>
      <c r="G10" s="100">
        <f>AVERAGE('개인별 출석현황'!I64:I102)</f>
        <v>0.83234714003944765</v>
      </c>
      <c r="H10" s="101">
        <f>COUNTIF('개인별 출석현황'!J64:J102,"수료")</f>
        <v>31</v>
      </c>
      <c r="I10" s="99">
        <f t="shared" si="0"/>
        <v>0.79487179487179482</v>
      </c>
    </row>
    <row r="11" spans="2:11" ht="18.75" customHeight="1">
      <c r="B11" s="39">
        <v>7</v>
      </c>
      <c r="C11" s="237"/>
      <c r="D11" s="199" t="s">
        <v>466</v>
      </c>
      <c r="E11" s="194">
        <v>16</v>
      </c>
      <c r="F11" s="182">
        <v>12</v>
      </c>
      <c r="G11" s="100">
        <f>AVERAGE('개인별 출석현황'!I103:I114)</f>
        <v>0.79166666666666663</v>
      </c>
      <c r="H11" s="101">
        <f>COUNTIF('개인별 출석현황'!J103:J114,"수료")</f>
        <v>10</v>
      </c>
      <c r="I11" s="99">
        <f t="shared" si="0"/>
        <v>0.83333333333333337</v>
      </c>
    </row>
    <row r="12" spans="2:11" ht="18.75" customHeight="1">
      <c r="B12" s="39">
        <v>8</v>
      </c>
      <c r="C12" s="237"/>
      <c r="D12" s="199" t="s">
        <v>467</v>
      </c>
      <c r="E12" s="194">
        <v>15</v>
      </c>
      <c r="F12" s="182">
        <v>15</v>
      </c>
      <c r="G12" s="100">
        <f>AVERAGE('개인별 출석현황'!I115:I129)</f>
        <v>0.66666666666666663</v>
      </c>
      <c r="H12" s="101">
        <f>COUNTIF('개인별 출석현황'!J115:J129,"수료")</f>
        <v>11</v>
      </c>
      <c r="I12" s="99">
        <f t="shared" si="0"/>
        <v>0.73333333333333328</v>
      </c>
    </row>
    <row r="13" spans="2:11" ht="18.75" customHeight="1">
      <c r="B13" s="39">
        <v>9</v>
      </c>
      <c r="C13" s="237"/>
      <c r="D13" s="199" t="s">
        <v>141</v>
      </c>
      <c r="E13" s="194">
        <v>16</v>
      </c>
      <c r="F13" s="182">
        <v>16</v>
      </c>
      <c r="G13" s="100">
        <f>AVERAGE('개인별 출석현황'!I130:I145)</f>
        <v>0.8705357142857143</v>
      </c>
      <c r="H13" s="101">
        <f>COUNTIF('개인별 출석현황'!J130:J145,"수료")</f>
        <v>14</v>
      </c>
      <c r="I13" s="99">
        <f t="shared" si="0"/>
        <v>0.875</v>
      </c>
    </row>
    <row r="14" spans="2:11" ht="18.75" customHeight="1">
      <c r="B14" s="39">
        <v>10</v>
      </c>
      <c r="C14" s="237"/>
      <c r="D14" s="199" t="s">
        <v>468</v>
      </c>
      <c r="E14" s="194">
        <v>26</v>
      </c>
      <c r="F14" s="182">
        <v>25</v>
      </c>
      <c r="G14" s="100">
        <f>AVERAGE('개인별 출석현황'!I146:I170)</f>
        <v>0.74428571428571444</v>
      </c>
      <c r="H14" s="101">
        <f>COUNTIF('개인별 출석현황'!J146:J170,"수료")</f>
        <v>19</v>
      </c>
      <c r="I14" s="99">
        <f t="shared" si="0"/>
        <v>0.76</v>
      </c>
    </row>
    <row r="15" spans="2:11" ht="18.75" customHeight="1">
      <c r="B15" s="39">
        <v>11</v>
      </c>
      <c r="C15" s="237"/>
      <c r="D15" s="199" t="s">
        <v>249</v>
      </c>
      <c r="E15" s="194">
        <v>20</v>
      </c>
      <c r="F15" s="182">
        <v>18</v>
      </c>
      <c r="G15" s="100">
        <f>AVERAGE('개인별 출석현황'!I171:I188)</f>
        <v>0.81150793650793629</v>
      </c>
      <c r="H15" s="101">
        <f>COUNTIF('개인별 출석현황'!J171:J188,"수료")</f>
        <v>14</v>
      </c>
      <c r="I15" s="99">
        <f t="shared" si="0"/>
        <v>0.77777777777777779</v>
      </c>
    </row>
    <row r="16" spans="2:11" ht="18.75" customHeight="1">
      <c r="B16" s="39">
        <v>12</v>
      </c>
      <c r="C16" s="237"/>
      <c r="D16" s="199" t="s">
        <v>469</v>
      </c>
      <c r="E16" s="194">
        <v>24</v>
      </c>
      <c r="F16" s="182">
        <v>23</v>
      </c>
      <c r="G16" s="100">
        <f>AVERAGE('개인별 출석현황'!I189:I211)</f>
        <v>0.89596273291925455</v>
      </c>
      <c r="H16" s="101">
        <f>COUNTIF('개인별 출석현황'!J189:J211,"수료")</f>
        <v>21</v>
      </c>
      <c r="I16" s="99">
        <f t="shared" si="0"/>
        <v>0.91304347826086951</v>
      </c>
    </row>
    <row r="17" spans="2:9" ht="18.75" customHeight="1">
      <c r="B17" s="39">
        <v>13</v>
      </c>
      <c r="C17" s="237"/>
      <c r="D17" s="199" t="s">
        <v>470</v>
      </c>
      <c r="E17" s="194">
        <v>20</v>
      </c>
      <c r="F17" s="182">
        <v>18</v>
      </c>
      <c r="G17" s="100">
        <f>AVERAGE('개인별 출석현황'!I212:I229)</f>
        <v>0.88095238095238093</v>
      </c>
      <c r="H17" s="101">
        <f>COUNTIF('개인별 출석현황'!J212:J229,"수료")</f>
        <v>15</v>
      </c>
      <c r="I17" s="99">
        <f t="shared" si="0"/>
        <v>0.83333333333333337</v>
      </c>
    </row>
    <row r="18" spans="2:9" ht="18.75" customHeight="1">
      <c r="B18" s="39">
        <v>14</v>
      </c>
      <c r="C18" s="252" t="s">
        <v>136</v>
      </c>
      <c r="D18" s="198" t="s">
        <v>143</v>
      </c>
      <c r="E18" s="194">
        <v>15</v>
      </c>
      <c r="F18" s="182">
        <v>12</v>
      </c>
      <c r="G18" s="100">
        <f>AVERAGE('개인별 출석현황'!I230:I241)</f>
        <v>0.80952380952380965</v>
      </c>
      <c r="H18" s="101">
        <f>COUNTIF('개인별 출석현황'!J230:J241,"수료")</f>
        <v>9</v>
      </c>
      <c r="I18" s="99">
        <f t="shared" si="0"/>
        <v>0.75</v>
      </c>
    </row>
    <row r="19" spans="2:9" ht="18.75" customHeight="1">
      <c r="B19" s="39">
        <v>15</v>
      </c>
      <c r="C19" s="252"/>
      <c r="D19" s="184" t="s">
        <v>471</v>
      </c>
      <c r="E19" s="194">
        <v>15</v>
      </c>
      <c r="F19" s="182">
        <v>14</v>
      </c>
      <c r="G19" s="100">
        <f>AVERAGE('개인별 출석현황'!I242:I255)</f>
        <v>0.81632653061224492</v>
      </c>
      <c r="H19" s="101">
        <f>COUNTIF('개인별 출석현황'!J242:J255,"수료")</f>
        <v>12</v>
      </c>
      <c r="I19" s="99">
        <f t="shared" si="0"/>
        <v>0.8571428571428571</v>
      </c>
    </row>
    <row r="20" spans="2:9" ht="17.25" thickBot="1">
      <c r="B20" s="159">
        <v>16</v>
      </c>
      <c r="C20" s="253"/>
      <c r="D20" s="185" t="s">
        <v>145</v>
      </c>
      <c r="E20" s="212">
        <v>15</v>
      </c>
      <c r="F20" s="122">
        <v>14</v>
      </c>
      <c r="G20" s="213">
        <f>AVERAGE('개인별 출석현황'!I256:I269)</f>
        <v>0.96683673469387765</v>
      </c>
      <c r="H20" s="214">
        <f>COUNTIF('개인별 출석현황'!J256:J269,"수료")</f>
        <v>14</v>
      </c>
      <c r="I20" s="215">
        <f t="shared" ref="I20" si="1">H20/F20</f>
        <v>1</v>
      </c>
    </row>
    <row r="21" spans="2:9">
      <c r="C21" s="1"/>
      <c r="D21" s="3"/>
      <c r="E21" s="1"/>
    </row>
    <row r="22" spans="2:9">
      <c r="C22" s="1"/>
      <c r="D22" s="3"/>
      <c r="E22" s="1"/>
    </row>
    <row r="23" spans="2:9">
      <c r="C23" s="1"/>
      <c r="D23" s="3"/>
      <c r="E23" s="1"/>
    </row>
    <row r="24" spans="2:9">
      <c r="C24" s="1"/>
      <c r="D24" s="3"/>
      <c r="E24" s="1"/>
    </row>
  </sheetData>
  <mergeCells count="5">
    <mergeCell ref="B1:I1"/>
    <mergeCell ref="C7:C9"/>
    <mergeCell ref="C5:C6"/>
    <mergeCell ref="C10:C17"/>
    <mergeCell ref="C18:C20"/>
  </mergeCells>
  <phoneticPr fontId="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E269"/>
  <sheetViews>
    <sheetView topLeftCell="A3" workbookViewId="0">
      <selection activeCell="H29" sqref="H29:H30"/>
    </sheetView>
  </sheetViews>
  <sheetFormatPr defaultRowHeight="16.5"/>
  <cols>
    <col min="1" max="1" width="1.25" style="37" customWidth="1"/>
    <col min="2" max="2" width="4.25" style="63" customWidth="1"/>
    <col min="3" max="3" width="38" style="61" customWidth="1"/>
    <col min="4" max="4" width="11" style="89" customWidth="1"/>
    <col min="5" max="5" width="8.125" style="89" customWidth="1"/>
    <col min="6" max="6" width="13" style="89" customWidth="1"/>
    <col min="7" max="7" width="6.875" style="36" customWidth="1"/>
    <col min="8" max="8" width="12.375" style="36" bestFit="1" customWidth="1"/>
    <col min="9" max="9" width="9.375" style="102" customWidth="1"/>
    <col min="10" max="10" width="9" style="36" customWidth="1"/>
    <col min="11" max="11" width="51" style="195" customWidth="1"/>
    <col min="12" max="30" width="7.625" style="89" customWidth="1"/>
    <col min="31" max="31" width="9" style="55"/>
    <col min="32" max="16384" width="9" style="37"/>
  </cols>
  <sheetData>
    <row r="1" spans="2:30" ht="33.75" customHeight="1">
      <c r="B1" s="259" t="s">
        <v>73</v>
      </c>
      <c r="C1" s="259"/>
      <c r="D1" s="259"/>
      <c r="E1" s="259"/>
      <c r="F1" s="259"/>
      <c r="G1" s="259"/>
      <c r="H1" s="259"/>
      <c r="I1" s="259"/>
      <c r="J1" s="259"/>
    </row>
    <row r="2" spans="2:30" ht="15" customHeight="1" thickBot="1">
      <c r="B2" s="62"/>
      <c r="C2" s="57"/>
      <c r="G2" s="56"/>
      <c r="H2" s="56"/>
      <c r="I2" s="58"/>
      <c r="J2" s="58"/>
      <c r="K2" s="57"/>
      <c r="L2" s="56"/>
      <c r="M2" s="56"/>
      <c r="N2" s="56"/>
      <c r="O2" s="56"/>
      <c r="P2" s="56"/>
      <c r="Q2" s="56"/>
      <c r="R2" s="56"/>
      <c r="S2" s="56"/>
      <c r="T2" s="56"/>
      <c r="U2" s="56"/>
      <c r="V2" s="56"/>
      <c r="W2" s="56"/>
      <c r="X2" s="56"/>
      <c r="Y2" s="56"/>
      <c r="Z2" s="56"/>
      <c r="AA2" s="56"/>
      <c r="AB2" s="56"/>
      <c r="AC2" s="56"/>
      <c r="AD2" s="56"/>
    </row>
    <row r="3" spans="2:30" ht="24.75" customHeight="1" thickBot="1">
      <c r="B3" s="103" t="s">
        <v>1</v>
      </c>
      <c r="C3" s="104" t="s">
        <v>43</v>
      </c>
      <c r="D3" s="105" t="s">
        <v>44</v>
      </c>
      <c r="E3" s="104" t="s">
        <v>100</v>
      </c>
      <c r="F3" s="104" t="s">
        <v>99</v>
      </c>
      <c r="G3" s="104" t="s">
        <v>89</v>
      </c>
      <c r="H3" s="104" t="s">
        <v>45</v>
      </c>
      <c r="I3" s="106" t="s">
        <v>46</v>
      </c>
      <c r="J3" s="107" t="s">
        <v>52</v>
      </c>
      <c r="K3" s="196"/>
      <c r="L3" s="59"/>
      <c r="M3" s="60"/>
      <c r="N3" s="59"/>
      <c r="O3" s="59"/>
      <c r="P3" s="59"/>
      <c r="Q3" s="59"/>
      <c r="R3" s="59"/>
      <c r="S3" s="60"/>
      <c r="T3" s="60"/>
      <c r="U3" s="59"/>
      <c r="V3" s="59"/>
      <c r="W3" s="59"/>
      <c r="X3" s="59"/>
      <c r="Y3" s="59"/>
      <c r="Z3" s="60"/>
      <c r="AA3" s="60"/>
      <c r="AB3" s="59"/>
      <c r="AC3" s="59"/>
      <c r="AD3" s="59"/>
    </row>
    <row r="4" spans="2:30" ht="20.100000000000001" customHeight="1">
      <c r="B4" s="87">
        <v>1</v>
      </c>
      <c r="C4" s="257" t="s">
        <v>132</v>
      </c>
      <c r="D4" s="200" t="s">
        <v>472</v>
      </c>
      <c r="E4" s="200" t="s">
        <v>120</v>
      </c>
      <c r="F4" s="200" t="s">
        <v>483</v>
      </c>
      <c r="G4" s="201">
        <v>13</v>
      </c>
      <c r="H4" s="201">
        <v>11</v>
      </c>
      <c r="I4" s="202">
        <f t="shared" ref="I4:I61" si="0">H4/G4</f>
        <v>0.84615384615384615</v>
      </c>
      <c r="J4" s="203" t="str">
        <f>IF(I4&gt;=70%,"수료","미수료")</f>
        <v>수료</v>
      </c>
      <c r="K4" s="197"/>
      <c r="L4" s="88"/>
      <c r="M4" s="88"/>
      <c r="N4" s="88"/>
      <c r="O4" s="88"/>
      <c r="P4" s="88"/>
      <c r="Q4" s="88"/>
      <c r="R4" s="258"/>
      <c r="S4" s="258"/>
      <c r="T4" s="258"/>
      <c r="U4" s="258"/>
      <c r="V4" s="258"/>
      <c r="W4" s="258"/>
      <c r="X4" s="258"/>
      <c r="Y4" s="258"/>
      <c r="Z4" s="258"/>
      <c r="AA4" s="258"/>
      <c r="AB4" s="258"/>
      <c r="AC4" s="258"/>
      <c r="AD4" s="258"/>
    </row>
    <row r="5" spans="2:30" ht="20.100000000000001" customHeight="1">
      <c r="B5" s="108">
        <v>2</v>
      </c>
      <c r="C5" s="256"/>
      <c r="D5" s="204" t="s">
        <v>473</v>
      </c>
      <c r="E5" s="204" t="s">
        <v>120</v>
      </c>
      <c r="F5" s="204" t="s">
        <v>484</v>
      </c>
      <c r="G5" s="205">
        <v>13</v>
      </c>
      <c r="H5" s="205">
        <v>1</v>
      </c>
      <c r="I5" s="206">
        <f t="shared" si="0"/>
        <v>7.6923076923076927E-2</v>
      </c>
      <c r="J5" s="207" t="str">
        <f>IF(I5&gt;=70%,"수료","미수료")</f>
        <v>미수료</v>
      </c>
      <c r="K5" s="197"/>
      <c r="L5" s="88"/>
      <c r="M5" s="88"/>
      <c r="N5" s="88"/>
      <c r="O5" s="88"/>
      <c r="P5" s="88"/>
      <c r="Q5" s="88"/>
      <c r="R5" s="258"/>
      <c r="S5" s="258"/>
      <c r="T5" s="258"/>
      <c r="U5" s="258"/>
      <c r="V5" s="258"/>
      <c r="W5" s="258"/>
      <c r="X5" s="258"/>
      <c r="Y5" s="258"/>
      <c r="Z5" s="258"/>
      <c r="AA5" s="258"/>
      <c r="AB5" s="258"/>
      <c r="AC5" s="258"/>
      <c r="AD5" s="258"/>
    </row>
    <row r="6" spans="2:30" ht="20.100000000000001" customHeight="1">
      <c r="B6" s="108">
        <v>3</v>
      </c>
      <c r="C6" s="256"/>
      <c r="D6" s="204" t="s">
        <v>146</v>
      </c>
      <c r="E6" s="204" t="s">
        <v>122</v>
      </c>
      <c r="F6" s="204" t="s">
        <v>147</v>
      </c>
      <c r="G6" s="205">
        <v>13</v>
      </c>
      <c r="H6" s="205">
        <v>12</v>
      </c>
      <c r="I6" s="206">
        <f t="shared" si="0"/>
        <v>0.92307692307692313</v>
      </c>
      <c r="J6" s="207" t="str">
        <f t="shared" ref="J6:J12" si="1">IF(I6&gt;=70%,"수료","미수료")</f>
        <v>수료</v>
      </c>
      <c r="K6" s="197"/>
      <c r="L6" s="88"/>
      <c r="M6" s="88"/>
      <c r="N6" s="88"/>
      <c r="O6" s="88"/>
      <c r="P6" s="88"/>
      <c r="Q6" s="88"/>
      <c r="R6" s="258"/>
      <c r="S6" s="258"/>
      <c r="T6" s="258"/>
      <c r="U6" s="258"/>
      <c r="V6" s="258"/>
      <c r="W6" s="258"/>
      <c r="X6" s="258"/>
      <c r="Y6" s="258"/>
      <c r="Z6" s="258"/>
      <c r="AA6" s="258"/>
      <c r="AB6" s="258"/>
      <c r="AC6" s="258"/>
      <c r="AD6" s="258"/>
    </row>
    <row r="7" spans="2:30" ht="20.100000000000001" customHeight="1">
      <c r="B7" s="108">
        <v>4</v>
      </c>
      <c r="C7" s="256"/>
      <c r="D7" s="204" t="s">
        <v>474</v>
      </c>
      <c r="E7" s="204" t="s">
        <v>120</v>
      </c>
      <c r="F7" s="204" t="s">
        <v>485</v>
      </c>
      <c r="G7" s="205">
        <v>13</v>
      </c>
      <c r="H7" s="205">
        <v>5</v>
      </c>
      <c r="I7" s="206">
        <f t="shared" si="0"/>
        <v>0.38461538461538464</v>
      </c>
      <c r="J7" s="207" t="str">
        <f t="shared" si="1"/>
        <v>미수료</v>
      </c>
      <c r="K7" s="197"/>
      <c r="L7" s="88"/>
      <c r="M7" s="88"/>
      <c r="N7" s="88"/>
      <c r="O7" s="88"/>
      <c r="P7" s="88"/>
      <c r="Q7" s="88"/>
      <c r="R7" s="258"/>
      <c r="S7" s="258"/>
      <c r="T7" s="258"/>
      <c r="U7" s="258"/>
      <c r="V7" s="258"/>
      <c r="W7" s="258"/>
      <c r="X7" s="258"/>
      <c r="Y7" s="258"/>
      <c r="Z7" s="258"/>
      <c r="AA7" s="258"/>
      <c r="AB7" s="258"/>
      <c r="AC7" s="258"/>
      <c r="AD7" s="258"/>
    </row>
    <row r="8" spans="2:30" ht="20.100000000000001" customHeight="1">
      <c r="B8" s="108">
        <v>5</v>
      </c>
      <c r="C8" s="256"/>
      <c r="D8" s="204" t="s">
        <v>475</v>
      </c>
      <c r="E8" s="204" t="s">
        <v>120</v>
      </c>
      <c r="F8" s="204" t="s">
        <v>486</v>
      </c>
      <c r="G8" s="205">
        <v>13</v>
      </c>
      <c r="H8" s="205">
        <v>11</v>
      </c>
      <c r="I8" s="206">
        <f t="shared" si="0"/>
        <v>0.84615384615384615</v>
      </c>
      <c r="J8" s="207" t="str">
        <f t="shared" si="1"/>
        <v>수료</v>
      </c>
      <c r="K8" s="197"/>
      <c r="L8" s="88"/>
      <c r="M8" s="88"/>
      <c r="N8" s="88"/>
      <c r="O8" s="88"/>
      <c r="P8" s="88"/>
      <c r="Q8" s="88"/>
      <c r="R8" s="258"/>
      <c r="S8" s="258"/>
      <c r="T8" s="258"/>
      <c r="U8" s="258"/>
      <c r="V8" s="258"/>
      <c r="W8" s="258"/>
      <c r="X8" s="258"/>
      <c r="Y8" s="258"/>
      <c r="Z8" s="258"/>
      <c r="AA8" s="258"/>
      <c r="AB8" s="258"/>
      <c r="AC8" s="258"/>
      <c r="AD8" s="258"/>
    </row>
    <row r="9" spans="2:30" ht="20.100000000000001" customHeight="1">
      <c r="B9" s="108">
        <v>6</v>
      </c>
      <c r="C9" s="256"/>
      <c r="D9" s="204" t="s">
        <v>476</v>
      </c>
      <c r="E9" s="204" t="s">
        <v>120</v>
      </c>
      <c r="F9" s="204" t="s">
        <v>487</v>
      </c>
      <c r="G9" s="205">
        <v>13</v>
      </c>
      <c r="H9" s="205">
        <v>12</v>
      </c>
      <c r="I9" s="206">
        <f t="shared" si="0"/>
        <v>0.92307692307692313</v>
      </c>
      <c r="J9" s="207" t="str">
        <f t="shared" si="1"/>
        <v>수료</v>
      </c>
      <c r="K9" s="197"/>
      <c r="L9" s="88"/>
      <c r="M9" s="88"/>
      <c r="N9" s="88"/>
      <c r="O9" s="88"/>
      <c r="P9" s="88"/>
      <c r="Q9" s="88"/>
      <c r="R9" s="258"/>
      <c r="S9" s="258"/>
      <c r="T9" s="258"/>
      <c r="U9" s="258"/>
      <c r="V9" s="258"/>
      <c r="W9" s="258"/>
      <c r="X9" s="258"/>
      <c r="Y9" s="258"/>
      <c r="Z9" s="258"/>
      <c r="AA9" s="258"/>
      <c r="AB9" s="258"/>
      <c r="AC9" s="258"/>
      <c r="AD9" s="258"/>
    </row>
    <row r="10" spans="2:30" ht="20.100000000000001" customHeight="1">
      <c r="B10" s="108">
        <v>7</v>
      </c>
      <c r="C10" s="256"/>
      <c r="D10" s="204" t="s">
        <v>477</v>
      </c>
      <c r="E10" s="204" t="s">
        <v>120</v>
      </c>
      <c r="F10" s="204" t="s">
        <v>488</v>
      </c>
      <c r="G10" s="205">
        <v>13</v>
      </c>
      <c r="H10" s="205">
        <v>10</v>
      </c>
      <c r="I10" s="206">
        <f t="shared" si="0"/>
        <v>0.76923076923076927</v>
      </c>
      <c r="J10" s="207" t="str">
        <f t="shared" si="1"/>
        <v>수료</v>
      </c>
      <c r="K10" s="197"/>
      <c r="L10" s="88"/>
      <c r="M10" s="88"/>
      <c r="N10" s="88"/>
      <c r="O10" s="88"/>
      <c r="P10" s="88"/>
      <c r="Q10" s="88"/>
      <c r="R10" s="258"/>
      <c r="S10" s="258"/>
      <c r="T10" s="258"/>
      <c r="U10" s="258"/>
      <c r="V10" s="258"/>
      <c r="W10" s="258"/>
      <c r="X10" s="258"/>
      <c r="Y10" s="258"/>
      <c r="Z10" s="258"/>
      <c r="AA10" s="258"/>
      <c r="AB10" s="258"/>
      <c r="AC10" s="258"/>
      <c r="AD10" s="258"/>
    </row>
    <row r="11" spans="2:30" ht="20.100000000000001" customHeight="1">
      <c r="B11" s="108">
        <v>8</v>
      </c>
      <c r="C11" s="256"/>
      <c r="D11" s="204" t="s">
        <v>478</v>
      </c>
      <c r="E11" s="204" t="s">
        <v>122</v>
      </c>
      <c r="F11" s="204" t="s">
        <v>489</v>
      </c>
      <c r="G11" s="205">
        <v>13</v>
      </c>
      <c r="H11" s="205">
        <v>12</v>
      </c>
      <c r="I11" s="206">
        <f t="shared" si="0"/>
        <v>0.92307692307692313</v>
      </c>
      <c r="J11" s="207" t="str">
        <f t="shared" si="1"/>
        <v>수료</v>
      </c>
      <c r="K11" s="197"/>
      <c r="L11" s="88"/>
      <c r="M11" s="88"/>
      <c r="N11" s="88"/>
      <c r="O11" s="88"/>
      <c r="P11" s="88"/>
      <c r="Q11" s="88"/>
      <c r="R11" s="258"/>
      <c r="S11" s="258"/>
      <c r="T11" s="258"/>
      <c r="U11" s="258"/>
      <c r="V11" s="258"/>
      <c r="W11" s="258"/>
      <c r="X11" s="258"/>
      <c r="Y11" s="258"/>
      <c r="Z11" s="258"/>
      <c r="AA11" s="258"/>
      <c r="AB11" s="258"/>
      <c r="AC11" s="258"/>
      <c r="AD11" s="258"/>
    </row>
    <row r="12" spans="2:30" ht="20.100000000000001" customHeight="1">
      <c r="B12" s="108">
        <v>9</v>
      </c>
      <c r="C12" s="256"/>
      <c r="D12" s="204" t="s">
        <v>479</v>
      </c>
      <c r="E12" s="204" t="s">
        <v>120</v>
      </c>
      <c r="F12" s="204" t="s">
        <v>490</v>
      </c>
      <c r="G12" s="205">
        <v>13</v>
      </c>
      <c r="H12" s="205">
        <v>10</v>
      </c>
      <c r="I12" s="206">
        <f t="shared" si="0"/>
        <v>0.76923076923076927</v>
      </c>
      <c r="J12" s="207" t="str">
        <f t="shared" si="1"/>
        <v>수료</v>
      </c>
      <c r="K12" s="197"/>
      <c r="L12" s="88"/>
      <c r="M12" s="88"/>
      <c r="N12" s="88"/>
      <c r="O12" s="88"/>
      <c r="P12" s="88"/>
      <c r="Q12" s="88"/>
      <c r="R12" s="258"/>
      <c r="S12" s="258"/>
      <c r="T12" s="258"/>
      <c r="U12" s="258"/>
      <c r="V12" s="258"/>
      <c r="W12" s="258"/>
      <c r="X12" s="258"/>
      <c r="Y12" s="258"/>
      <c r="Z12" s="258"/>
      <c r="AA12" s="258"/>
      <c r="AB12" s="258"/>
      <c r="AC12" s="258"/>
      <c r="AD12" s="258"/>
    </row>
    <row r="13" spans="2:30" ht="20.100000000000001" customHeight="1">
      <c r="B13" s="108">
        <v>10</v>
      </c>
      <c r="C13" s="256"/>
      <c r="D13" s="204" t="s">
        <v>480</v>
      </c>
      <c r="E13" s="204" t="s">
        <v>120</v>
      </c>
      <c r="F13" s="204" t="s">
        <v>491</v>
      </c>
      <c r="G13" s="205">
        <v>13</v>
      </c>
      <c r="H13" s="205">
        <v>8</v>
      </c>
      <c r="I13" s="206">
        <f t="shared" si="0"/>
        <v>0.61538461538461542</v>
      </c>
      <c r="J13" s="207" t="str">
        <f>IF(I13&gt;=70%,"수료","미수료")</f>
        <v>미수료</v>
      </c>
      <c r="K13" s="197"/>
      <c r="L13" s="88"/>
      <c r="M13" s="88"/>
      <c r="N13" s="88"/>
      <c r="O13" s="88"/>
      <c r="P13" s="88"/>
      <c r="Q13" s="88"/>
      <c r="R13" s="258"/>
      <c r="S13" s="258"/>
      <c r="T13" s="258"/>
      <c r="U13" s="258"/>
      <c r="V13" s="258"/>
      <c r="W13" s="258"/>
      <c r="X13" s="258"/>
      <c r="Y13" s="258"/>
      <c r="Z13" s="258"/>
      <c r="AA13" s="258"/>
      <c r="AB13" s="258"/>
      <c r="AC13" s="258"/>
      <c r="AD13" s="258"/>
    </row>
    <row r="14" spans="2:30" ht="20.100000000000001" customHeight="1">
      <c r="B14" s="108">
        <v>11</v>
      </c>
      <c r="C14" s="256"/>
      <c r="D14" s="204" t="s">
        <v>481</v>
      </c>
      <c r="E14" s="204" t="s">
        <v>120</v>
      </c>
      <c r="F14" s="204" t="s">
        <v>492</v>
      </c>
      <c r="G14" s="205">
        <v>13</v>
      </c>
      <c r="H14" s="205">
        <v>8</v>
      </c>
      <c r="I14" s="206">
        <f t="shared" si="0"/>
        <v>0.61538461538461542</v>
      </c>
      <c r="J14" s="207" t="str">
        <f>IF(I14&gt;=70%,"수료","미수료")</f>
        <v>미수료</v>
      </c>
      <c r="K14" s="197"/>
      <c r="L14" s="88"/>
      <c r="M14" s="88"/>
      <c r="N14" s="88"/>
      <c r="O14" s="88"/>
      <c r="P14" s="88"/>
      <c r="Q14" s="88"/>
      <c r="R14" s="258"/>
      <c r="S14" s="258"/>
      <c r="T14" s="258"/>
      <c r="U14" s="258"/>
      <c r="V14" s="258"/>
      <c r="W14" s="258"/>
      <c r="X14" s="258"/>
      <c r="Y14" s="258"/>
      <c r="Z14" s="258"/>
      <c r="AA14" s="258"/>
      <c r="AB14" s="258"/>
      <c r="AC14" s="258"/>
      <c r="AD14" s="258"/>
    </row>
    <row r="15" spans="2:30" ht="20.100000000000001" customHeight="1">
      <c r="B15" s="108">
        <v>12</v>
      </c>
      <c r="C15" s="256"/>
      <c r="D15" s="204" t="s">
        <v>482</v>
      </c>
      <c r="E15" s="204" t="s">
        <v>120</v>
      </c>
      <c r="F15" s="204" t="s">
        <v>493</v>
      </c>
      <c r="G15" s="205">
        <v>13</v>
      </c>
      <c r="H15" s="205">
        <v>13</v>
      </c>
      <c r="I15" s="206">
        <f t="shared" si="0"/>
        <v>1</v>
      </c>
      <c r="J15" s="207" t="str">
        <f>IF(I15&gt;=70%,"수료","미수료")</f>
        <v>수료</v>
      </c>
      <c r="K15" s="197"/>
      <c r="L15" s="88"/>
      <c r="M15" s="88"/>
      <c r="N15" s="88"/>
      <c r="O15" s="88"/>
      <c r="P15" s="88"/>
      <c r="Q15" s="88"/>
      <c r="R15" s="258"/>
      <c r="S15" s="258"/>
      <c r="T15" s="258"/>
      <c r="U15" s="258"/>
      <c r="V15" s="258"/>
      <c r="W15" s="258"/>
      <c r="X15" s="258"/>
      <c r="Y15" s="258"/>
      <c r="Z15" s="258"/>
      <c r="AA15" s="258"/>
      <c r="AB15" s="258"/>
      <c r="AC15" s="258"/>
      <c r="AD15" s="258"/>
    </row>
    <row r="16" spans="2:30" ht="20.100000000000001" customHeight="1">
      <c r="B16" s="108">
        <v>13</v>
      </c>
      <c r="C16" s="256" t="s">
        <v>134</v>
      </c>
      <c r="D16" s="204" t="s">
        <v>494</v>
      </c>
      <c r="E16" s="204" t="s">
        <v>120</v>
      </c>
      <c r="F16" s="204" t="s">
        <v>499</v>
      </c>
      <c r="G16" s="205">
        <v>14</v>
      </c>
      <c r="H16" s="205">
        <v>6</v>
      </c>
      <c r="I16" s="206">
        <f t="shared" si="0"/>
        <v>0.42857142857142855</v>
      </c>
      <c r="J16" s="207" t="str">
        <f>IF(I16&gt;=70%,"수료","미수료")</f>
        <v>미수료</v>
      </c>
      <c r="K16" s="197"/>
      <c r="L16" s="88"/>
      <c r="M16" s="88"/>
      <c r="N16" s="88"/>
      <c r="O16" s="88"/>
      <c r="P16" s="88"/>
      <c r="Q16" s="88"/>
      <c r="R16" s="258"/>
      <c r="S16" s="258"/>
      <c r="T16" s="258"/>
      <c r="U16" s="258"/>
      <c r="V16" s="258"/>
      <c r="W16" s="258"/>
      <c r="X16" s="258"/>
      <c r="Y16" s="258"/>
      <c r="Z16" s="258"/>
      <c r="AA16" s="258"/>
      <c r="AB16" s="258"/>
      <c r="AC16" s="258"/>
      <c r="AD16" s="258"/>
    </row>
    <row r="17" spans="2:30" ht="20.100000000000001" customHeight="1">
      <c r="B17" s="108">
        <v>14</v>
      </c>
      <c r="C17" s="256"/>
      <c r="D17" s="204" t="s">
        <v>495</v>
      </c>
      <c r="E17" s="204" t="s">
        <v>120</v>
      </c>
      <c r="F17" s="204" t="s">
        <v>500</v>
      </c>
      <c r="G17" s="205">
        <v>14</v>
      </c>
      <c r="H17" s="205">
        <v>14</v>
      </c>
      <c r="I17" s="206">
        <f>H17/G17</f>
        <v>1</v>
      </c>
      <c r="J17" s="207" t="str">
        <f>IF(I17&gt;=70%,"수료","미수료")</f>
        <v>수료</v>
      </c>
      <c r="K17" s="197"/>
      <c r="L17" s="127"/>
      <c r="M17" s="127"/>
      <c r="N17" s="127"/>
      <c r="O17" s="127"/>
      <c r="P17" s="127"/>
      <c r="Q17" s="127"/>
      <c r="R17" s="127"/>
      <c r="S17" s="127"/>
      <c r="T17" s="127"/>
      <c r="U17" s="127"/>
      <c r="V17" s="127"/>
      <c r="W17" s="127"/>
      <c r="X17" s="127"/>
      <c r="Y17" s="127"/>
      <c r="Z17" s="127"/>
      <c r="AA17" s="127"/>
      <c r="AB17" s="127"/>
      <c r="AC17" s="127"/>
      <c r="AD17" s="127"/>
    </row>
    <row r="18" spans="2:30" ht="20.100000000000001" customHeight="1">
      <c r="B18" s="108">
        <v>15</v>
      </c>
      <c r="C18" s="256"/>
      <c r="D18" s="204" t="s">
        <v>496</v>
      </c>
      <c r="E18" s="204" t="s">
        <v>251</v>
      </c>
      <c r="F18" s="204" t="s">
        <v>501</v>
      </c>
      <c r="G18" s="205">
        <v>14</v>
      </c>
      <c r="H18" s="205">
        <v>13</v>
      </c>
      <c r="I18" s="206">
        <f t="shared" si="0"/>
        <v>0.9285714285714286</v>
      </c>
      <c r="J18" s="207" t="str">
        <f t="shared" ref="J18:J81" si="2">IF(I18&gt;=70%,"수료","미수료")</f>
        <v>수료</v>
      </c>
      <c r="K18" s="197"/>
      <c r="L18" s="88"/>
      <c r="M18" s="88"/>
      <c r="N18" s="88"/>
      <c r="O18" s="88"/>
      <c r="P18" s="88"/>
      <c r="Q18" s="88"/>
      <c r="R18" s="88"/>
      <c r="S18" s="88"/>
      <c r="T18" s="88"/>
      <c r="U18" s="88"/>
      <c r="V18" s="88"/>
      <c r="W18" s="88"/>
      <c r="X18" s="88"/>
      <c r="Y18" s="88"/>
      <c r="Z18" s="88"/>
      <c r="AA18" s="88"/>
      <c r="AB18" s="88"/>
      <c r="AC18" s="88"/>
      <c r="AD18" s="258"/>
    </row>
    <row r="19" spans="2:30" ht="20.100000000000001" customHeight="1">
      <c r="B19" s="108">
        <v>16</v>
      </c>
      <c r="C19" s="256"/>
      <c r="D19" s="204" t="s">
        <v>219</v>
      </c>
      <c r="E19" s="204" t="s">
        <v>251</v>
      </c>
      <c r="F19" s="204" t="s">
        <v>220</v>
      </c>
      <c r="G19" s="205">
        <v>14</v>
      </c>
      <c r="H19" s="205">
        <v>13</v>
      </c>
      <c r="I19" s="206">
        <f t="shared" si="0"/>
        <v>0.9285714285714286</v>
      </c>
      <c r="J19" s="207" t="str">
        <f t="shared" si="2"/>
        <v>수료</v>
      </c>
      <c r="K19" s="197"/>
      <c r="L19" s="88"/>
      <c r="M19" s="88"/>
      <c r="N19" s="88"/>
      <c r="O19" s="88"/>
      <c r="P19" s="88"/>
      <c r="Q19" s="88"/>
      <c r="R19" s="88"/>
      <c r="S19" s="88"/>
      <c r="T19" s="88"/>
      <c r="U19" s="88"/>
      <c r="V19" s="88"/>
      <c r="W19" s="88"/>
      <c r="X19" s="88"/>
      <c r="Y19" s="88"/>
      <c r="Z19" s="88"/>
      <c r="AA19" s="88"/>
      <c r="AB19" s="88"/>
      <c r="AC19" s="88"/>
      <c r="AD19" s="258"/>
    </row>
    <row r="20" spans="2:30" ht="20.100000000000001" customHeight="1">
      <c r="B20" s="108">
        <v>17</v>
      </c>
      <c r="C20" s="256"/>
      <c r="D20" s="204" t="s">
        <v>497</v>
      </c>
      <c r="E20" s="204" t="s">
        <v>251</v>
      </c>
      <c r="F20" s="204" t="s">
        <v>157</v>
      </c>
      <c r="G20" s="205">
        <v>14</v>
      </c>
      <c r="H20" s="205">
        <v>13</v>
      </c>
      <c r="I20" s="206">
        <f t="shared" si="0"/>
        <v>0.9285714285714286</v>
      </c>
      <c r="J20" s="207" t="str">
        <f t="shared" si="2"/>
        <v>수료</v>
      </c>
      <c r="K20" s="197"/>
      <c r="L20" s="88"/>
      <c r="M20" s="88"/>
      <c r="N20" s="88"/>
      <c r="O20" s="88"/>
      <c r="P20" s="88"/>
      <c r="Q20" s="88"/>
      <c r="R20" s="88"/>
      <c r="S20" s="88"/>
      <c r="T20" s="88"/>
      <c r="U20" s="88"/>
      <c r="V20" s="88"/>
      <c r="W20" s="88"/>
      <c r="X20" s="88"/>
      <c r="Y20" s="88"/>
      <c r="Z20" s="88"/>
      <c r="AA20" s="88"/>
      <c r="AB20" s="88"/>
      <c r="AC20" s="88"/>
      <c r="AD20" s="258"/>
    </row>
    <row r="21" spans="2:30" ht="20.100000000000001" customHeight="1">
      <c r="B21" s="108">
        <v>18</v>
      </c>
      <c r="C21" s="256"/>
      <c r="D21" s="204" t="s">
        <v>498</v>
      </c>
      <c r="E21" s="204" t="s">
        <v>251</v>
      </c>
      <c r="F21" s="204" t="s">
        <v>502</v>
      </c>
      <c r="G21" s="205">
        <v>14</v>
      </c>
      <c r="H21" s="205">
        <v>13</v>
      </c>
      <c r="I21" s="206">
        <f t="shared" si="0"/>
        <v>0.9285714285714286</v>
      </c>
      <c r="J21" s="207" t="str">
        <f t="shared" si="2"/>
        <v>수료</v>
      </c>
      <c r="K21" s="197"/>
      <c r="L21" s="88"/>
      <c r="M21" s="88"/>
      <c r="N21" s="88"/>
      <c r="O21" s="88"/>
      <c r="P21" s="88"/>
      <c r="Q21" s="88"/>
      <c r="R21" s="88"/>
      <c r="S21" s="88"/>
      <c r="T21" s="88"/>
      <c r="U21" s="88"/>
      <c r="V21" s="88"/>
      <c r="W21" s="88"/>
      <c r="X21" s="88"/>
      <c r="Y21" s="88"/>
      <c r="Z21" s="88"/>
      <c r="AA21" s="88"/>
      <c r="AB21" s="88"/>
      <c r="AC21" s="88"/>
      <c r="AD21" s="258"/>
    </row>
    <row r="22" spans="2:30" ht="20.100000000000001" customHeight="1">
      <c r="B22" s="108">
        <v>19</v>
      </c>
      <c r="C22" s="256" t="s">
        <v>465</v>
      </c>
      <c r="D22" s="204" t="s">
        <v>503</v>
      </c>
      <c r="E22" s="204" t="s">
        <v>122</v>
      </c>
      <c r="F22" s="204" t="s">
        <v>514</v>
      </c>
      <c r="G22" s="205">
        <v>13</v>
      </c>
      <c r="H22" s="205">
        <v>13</v>
      </c>
      <c r="I22" s="206">
        <f t="shared" si="0"/>
        <v>1</v>
      </c>
      <c r="J22" s="207" t="str">
        <f t="shared" si="2"/>
        <v>수료</v>
      </c>
      <c r="K22" s="197"/>
      <c r="L22" s="88"/>
      <c r="M22" s="88"/>
      <c r="N22" s="88"/>
      <c r="O22" s="88"/>
      <c r="P22" s="88"/>
      <c r="Q22" s="88"/>
      <c r="R22" s="88"/>
      <c r="S22" s="88"/>
      <c r="T22" s="88"/>
      <c r="U22" s="88"/>
      <c r="V22" s="88"/>
      <c r="W22" s="88"/>
      <c r="X22" s="88"/>
      <c r="Y22" s="88"/>
      <c r="Z22" s="88"/>
      <c r="AA22" s="88"/>
      <c r="AB22" s="88"/>
      <c r="AC22" s="88"/>
      <c r="AD22" s="258"/>
    </row>
    <row r="23" spans="2:30" ht="20.100000000000001" customHeight="1">
      <c r="B23" s="108">
        <v>20</v>
      </c>
      <c r="C23" s="256"/>
      <c r="D23" s="204" t="s">
        <v>504</v>
      </c>
      <c r="E23" s="204" t="s">
        <v>122</v>
      </c>
      <c r="F23" s="204" t="s">
        <v>515</v>
      </c>
      <c r="G23" s="205">
        <v>13</v>
      </c>
      <c r="H23" s="205">
        <v>11</v>
      </c>
      <c r="I23" s="206">
        <f t="shared" si="0"/>
        <v>0.84615384615384615</v>
      </c>
      <c r="J23" s="207" t="str">
        <f t="shared" si="2"/>
        <v>수료</v>
      </c>
      <c r="K23" s="197"/>
      <c r="L23" s="88"/>
      <c r="M23" s="88"/>
      <c r="N23" s="88"/>
      <c r="O23" s="88"/>
      <c r="P23" s="88"/>
      <c r="Q23" s="88"/>
      <c r="R23" s="88"/>
      <c r="S23" s="88"/>
      <c r="T23" s="88"/>
      <c r="U23" s="88"/>
      <c r="V23" s="88"/>
      <c r="W23" s="88"/>
      <c r="X23" s="88"/>
      <c r="Y23" s="88"/>
      <c r="Z23" s="88"/>
      <c r="AA23" s="88"/>
      <c r="AB23" s="88"/>
      <c r="AC23" s="88"/>
      <c r="AD23" s="258"/>
    </row>
    <row r="24" spans="2:30" ht="20.100000000000001" customHeight="1">
      <c r="B24" s="108">
        <v>21</v>
      </c>
      <c r="C24" s="256"/>
      <c r="D24" s="204" t="s">
        <v>505</v>
      </c>
      <c r="E24" s="204" t="s">
        <v>122</v>
      </c>
      <c r="F24" s="204" t="s">
        <v>516</v>
      </c>
      <c r="G24" s="205">
        <v>13</v>
      </c>
      <c r="H24" s="205">
        <v>13</v>
      </c>
      <c r="I24" s="206">
        <f t="shared" si="0"/>
        <v>1</v>
      </c>
      <c r="J24" s="207" t="str">
        <f t="shared" si="2"/>
        <v>수료</v>
      </c>
      <c r="K24" s="197"/>
      <c r="L24" s="88"/>
      <c r="M24" s="88"/>
      <c r="N24" s="88"/>
      <c r="O24" s="88"/>
      <c r="P24" s="88"/>
      <c r="Q24" s="88"/>
      <c r="R24" s="88"/>
      <c r="S24" s="88"/>
      <c r="T24" s="88"/>
      <c r="U24" s="88"/>
      <c r="V24" s="88"/>
      <c r="W24" s="88"/>
      <c r="X24" s="88"/>
      <c r="Y24" s="88"/>
      <c r="Z24" s="88"/>
      <c r="AA24" s="88"/>
      <c r="AB24" s="88"/>
      <c r="AC24" s="88"/>
      <c r="AD24" s="258"/>
    </row>
    <row r="25" spans="2:30" ht="20.100000000000001" customHeight="1">
      <c r="B25" s="108">
        <v>22</v>
      </c>
      <c r="C25" s="256"/>
      <c r="D25" s="204" t="s">
        <v>506</v>
      </c>
      <c r="E25" s="204" t="s">
        <v>120</v>
      </c>
      <c r="F25" s="204" t="s">
        <v>517</v>
      </c>
      <c r="G25" s="205">
        <v>13</v>
      </c>
      <c r="H25" s="205">
        <v>12</v>
      </c>
      <c r="I25" s="206">
        <f t="shared" si="0"/>
        <v>0.92307692307692313</v>
      </c>
      <c r="J25" s="207" t="str">
        <f t="shared" si="2"/>
        <v>수료</v>
      </c>
      <c r="K25" s="197"/>
      <c r="L25" s="88"/>
      <c r="M25" s="88"/>
      <c r="N25" s="88"/>
      <c r="O25" s="88"/>
      <c r="P25" s="88"/>
      <c r="Q25" s="88"/>
      <c r="R25" s="88"/>
      <c r="S25" s="88"/>
      <c r="T25" s="88"/>
      <c r="U25" s="88"/>
      <c r="V25" s="88"/>
      <c r="W25" s="88"/>
      <c r="X25" s="88"/>
      <c r="Y25" s="88"/>
      <c r="Z25" s="88"/>
      <c r="AA25" s="88"/>
      <c r="AB25" s="88"/>
      <c r="AC25" s="88"/>
      <c r="AD25" s="258"/>
    </row>
    <row r="26" spans="2:30" ht="20.100000000000001" customHeight="1">
      <c r="B26" s="108">
        <v>23</v>
      </c>
      <c r="C26" s="256"/>
      <c r="D26" s="204" t="s">
        <v>507</v>
      </c>
      <c r="E26" s="204" t="s">
        <v>120</v>
      </c>
      <c r="F26" s="204" t="s">
        <v>518</v>
      </c>
      <c r="G26" s="205">
        <v>13</v>
      </c>
      <c r="H26" s="205">
        <v>11</v>
      </c>
      <c r="I26" s="206">
        <f t="shared" si="0"/>
        <v>0.84615384615384615</v>
      </c>
      <c r="J26" s="207" t="str">
        <f t="shared" si="2"/>
        <v>수료</v>
      </c>
      <c r="K26" s="197"/>
      <c r="L26" s="88"/>
      <c r="M26" s="88"/>
      <c r="N26" s="88"/>
      <c r="O26" s="88"/>
      <c r="P26" s="88"/>
      <c r="Q26" s="88"/>
      <c r="R26" s="88"/>
      <c r="S26" s="88"/>
      <c r="T26" s="88"/>
      <c r="U26" s="88"/>
      <c r="V26" s="88"/>
      <c r="W26" s="88"/>
      <c r="X26" s="88"/>
      <c r="Y26" s="88"/>
      <c r="Z26" s="88"/>
      <c r="AA26" s="88"/>
      <c r="AB26" s="88"/>
      <c r="AC26" s="88"/>
      <c r="AD26" s="258"/>
    </row>
    <row r="27" spans="2:30" ht="20.100000000000001" customHeight="1">
      <c r="B27" s="108">
        <v>24</v>
      </c>
      <c r="C27" s="256"/>
      <c r="D27" s="204" t="s">
        <v>508</v>
      </c>
      <c r="E27" s="204" t="s">
        <v>120</v>
      </c>
      <c r="F27" s="204" t="s">
        <v>519</v>
      </c>
      <c r="G27" s="205">
        <v>13</v>
      </c>
      <c r="H27" s="205">
        <v>12</v>
      </c>
      <c r="I27" s="206">
        <f t="shared" si="0"/>
        <v>0.92307692307692313</v>
      </c>
      <c r="J27" s="207" t="str">
        <f t="shared" si="2"/>
        <v>수료</v>
      </c>
      <c r="K27" s="197"/>
      <c r="L27" s="88"/>
      <c r="M27" s="88"/>
      <c r="N27" s="88"/>
      <c r="O27" s="88"/>
      <c r="P27" s="88"/>
      <c r="Q27" s="88"/>
      <c r="R27" s="88"/>
      <c r="S27" s="260"/>
      <c r="T27" s="260"/>
      <c r="U27" s="260"/>
      <c r="V27" s="260"/>
      <c r="W27" s="260"/>
      <c r="X27" s="260"/>
      <c r="Y27" s="260"/>
      <c r="Z27" s="260"/>
      <c r="AA27" s="260"/>
      <c r="AB27" s="260"/>
      <c r="AC27" s="260"/>
      <c r="AD27" s="260"/>
    </row>
    <row r="28" spans="2:30" ht="20.100000000000001" customHeight="1">
      <c r="B28" s="108">
        <v>25</v>
      </c>
      <c r="C28" s="256"/>
      <c r="D28" s="204" t="s">
        <v>509</v>
      </c>
      <c r="E28" s="204" t="s">
        <v>120</v>
      </c>
      <c r="F28" s="204" t="s">
        <v>520</v>
      </c>
      <c r="G28" s="205">
        <v>13</v>
      </c>
      <c r="H28" s="205">
        <v>13</v>
      </c>
      <c r="I28" s="206">
        <f t="shared" si="0"/>
        <v>1</v>
      </c>
      <c r="J28" s="207" t="str">
        <f t="shared" si="2"/>
        <v>수료</v>
      </c>
      <c r="K28" s="197"/>
      <c r="L28" s="88"/>
      <c r="M28" s="88"/>
      <c r="N28" s="88"/>
      <c r="O28" s="88"/>
      <c r="P28" s="88"/>
      <c r="Q28" s="88"/>
      <c r="R28" s="88"/>
      <c r="S28" s="260"/>
      <c r="T28" s="260"/>
      <c r="U28" s="260"/>
      <c r="V28" s="260"/>
      <c r="W28" s="260"/>
      <c r="X28" s="260"/>
      <c r="Y28" s="260"/>
      <c r="Z28" s="260"/>
      <c r="AA28" s="260"/>
      <c r="AB28" s="260"/>
      <c r="AC28" s="260"/>
      <c r="AD28" s="260"/>
    </row>
    <row r="29" spans="2:30" ht="20.100000000000001" customHeight="1">
      <c r="B29" s="108">
        <v>26</v>
      </c>
      <c r="C29" s="256"/>
      <c r="D29" s="204" t="s">
        <v>510</v>
      </c>
      <c r="E29" s="204" t="s">
        <v>120</v>
      </c>
      <c r="F29" s="204" t="s">
        <v>521</v>
      </c>
      <c r="G29" s="205">
        <v>13</v>
      </c>
      <c r="H29" s="205">
        <v>8</v>
      </c>
      <c r="I29" s="206">
        <f t="shared" si="0"/>
        <v>0.61538461538461542</v>
      </c>
      <c r="J29" s="207" t="str">
        <f t="shared" si="2"/>
        <v>미수료</v>
      </c>
      <c r="K29" s="197"/>
      <c r="L29" s="88"/>
      <c r="M29" s="88"/>
      <c r="N29" s="88"/>
      <c r="O29" s="88"/>
      <c r="P29" s="88"/>
      <c r="Q29" s="88"/>
      <c r="R29" s="88"/>
      <c r="S29" s="260"/>
      <c r="T29" s="260"/>
      <c r="U29" s="260"/>
      <c r="V29" s="260"/>
      <c r="W29" s="260"/>
      <c r="X29" s="260"/>
      <c r="Y29" s="260"/>
      <c r="Z29" s="260"/>
      <c r="AA29" s="260"/>
      <c r="AB29" s="260"/>
      <c r="AC29" s="260"/>
      <c r="AD29" s="260"/>
    </row>
    <row r="30" spans="2:30" ht="20.100000000000001" customHeight="1">
      <c r="B30" s="108">
        <v>27</v>
      </c>
      <c r="C30" s="256"/>
      <c r="D30" s="204" t="s">
        <v>511</v>
      </c>
      <c r="E30" s="204" t="s">
        <v>120</v>
      </c>
      <c r="F30" s="204" t="s">
        <v>522</v>
      </c>
      <c r="G30" s="205">
        <v>13</v>
      </c>
      <c r="H30" s="205">
        <v>12</v>
      </c>
      <c r="I30" s="206">
        <f t="shared" si="0"/>
        <v>0.92307692307692313</v>
      </c>
      <c r="J30" s="207" t="str">
        <f t="shared" si="2"/>
        <v>수료</v>
      </c>
      <c r="K30" s="197"/>
      <c r="L30" s="88"/>
      <c r="M30" s="88"/>
      <c r="N30" s="88"/>
      <c r="O30" s="88"/>
      <c r="P30" s="88"/>
      <c r="Q30" s="88"/>
      <c r="R30" s="88"/>
      <c r="S30" s="260"/>
      <c r="T30" s="260"/>
      <c r="U30" s="260"/>
      <c r="V30" s="260"/>
      <c r="W30" s="260"/>
      <c r="X30" s="260"/>
      <c r="Y30" s="260"/>
      <c r="Z30" s="260"/>
      <c r="AA30" s="260"/>
      <c r="AB30" s="260"/>
      <c r="AC30" s="260"/>
      <c r="AD30" s="260"/>
    </row>
    <row r="31" spans="2:30" ht="20.100000000000001" customHeight="1">
      <c r="B31" s="108">
        <v>28</v>
      </c>
      <c r="C31" s="256"/>
      <c r="D31" s="204" t="s">
        <v>512</v>
      </c>
      <c r="E31" s="204" t="s">
        <v>120</v>
      </c>
      <c r="F31" s="204" t="s">
        <v>523</v>
      </c>
      <c r="G31" s="205">
        <v>13</v>
      </c>
      <c r="H31" s="205">
        <v>12</v>
      </c>
      <c r="I31" s="206">
        <f t="shared" si="0"/>
        <v>0.92307692307692313</v>
      </c>
      <c r="J31" s="207" t="str">
        <f t="shared" si="2"/>
        <v>수료</v>
      </c>
      <c r="K31" s="197"/>
      <c r="L31" s="88"/>
      <c r="M31" s="88"/>
      <c r="N31" s="88"/>
      <c r="O31" s="88"/>
      <c r="P31" s="88"/>
      <c r="Q31" s="88"/>
      <c r="R31" s="88"/>
      <c r="S31" s="260"/>
      <c r="T31" s="260"/>
      <c r="U31" s="260"/>
      <c r="V31" s="260"/>
      <c r="W31" s="260"/>
      <c r="X31" s="260"/>
      <c r="Y31" s="260"/>
      <c r="Z31" s="260"/>
      <c r="AA31" s="260"/>
      <c r="AB31" s="260"/>
      <c r="AC31" s="260"/>
      <c r="AD31" s="260"/>
    </row>
    <row r="32" spans="2:30" ht="20.100000000000001" customHeight="1">
      <c r="B32" s="108">
        <v>29</v>
      </c>
      <c r="C32" s="256"/>
      <c r="D32" s="204" t="s">
        <v>513</v>
      </c>
      <c r="E32" s="204" t="s">
        <v>122</v>
      </c>
      <c r="F32" s="204" t="s">
        <v>524</v>
      </c>
      <c r="G32" s="205">
        <v>13</v>
      </c>
      <c r="H32" s="205">
        <v>11</v>
      </c>
      <c r="I32" s="206">
        <f t="shared" si="0"/>
        <v>0.84615384615384615</v>
      </c>
      <c r="J32" s="207" t="str">
        <f t="shared" si="2"/>
        <v>수료</v>
      </c>
      <c r="K32" s="197"/>
      <c r="L32" s="88"/>
      <c r="M32" s="88"/>
      <c r="N32" s="88"/>
      <c r="O32" s="88"/>
      <c r="P32" s="88"/>
      <c r="Q32" s="88"/>
      <c r="R32" s="88"/>
      <c r="S32" s="260"/>
      <c r="T32" s="260"/>
      <c r="U32" s="260"/>
      <c r="V32" s="260"/>
      <c r="W32" s="260"/>
      <c r="X32" s="260"/>
      <c r="Y32" s="260"/>
      <c r="Z32" s="260"/>
      <c r="AA32" s="260"/>
      <c r="AB32" s="260"/>
      <c r="AC32" s="260"/>
      <c r="AD32" s="260"/>
    </row>
    <row r="33" spans="2:30" ht="20.100000000000001" customHeight="1">
      <c r="B33" s="108">
        <v>30</v>
      </c>
      <c r="C33" s="256"/>
      <c r="D33" s="204" t="s">
        <v>256</v>
      </c>
      <c r="E33" s="204" t="s">
        <v>120</v>
      </c>
      <c r="F33" s="204" t="s">
        <v>259</v>
      </c>
      <c r="G33" s="205">
        <v>13</v>
      </c>
      <c r="H33" s="205">
        <v>12</v>
      </c>
      <c r="I33" s="206">
        <f t="shared" si="0"/>
        <v>0.92307692307692313</v>
      </c>
      <c r="J33" s="207" t="str">
        <f t="shared" si="2"/>
        <v>수료</v>
      </c>
      <c r="K33" s="197"/>
      <c r="L33" s="88"/>
      <c r="M33" s="88"/>
      <c r="N33" s="88"/>
      <c r="O33" s="88"/>
      <c r="P33" s="88"/>
      <c r="Q33" s="88"/>
      <c r="R33" s="88"/>
      <c r="S33" s="260"/>
      <c r="T33" s="260"/>
      <c r="U33" s="260"/>
      <c r="V33" s="260"/>
      <c r="W33" s="260"/>
      <c r="X33" s="260"/>
      <c r="Y33" s="260"/>
      <c r="Z33" s="260"/>
      <c r="AA33" s="260"/>
      <c r="AB33" s="260"/>
      <c r="AC33" s="260"/>
      <c r="AD33" s="260"/>
    </row>
    <row r="34" spans="2:30" ht="20.100000000000001" customHeight="1">
      <c r="B34" s="108">
        <v>31</v>
      </c>
      <c r="C34" s="256" t="s">
        <v>250</v>
      </c>
      <c r="D34" s="204" t="s">
        <v>525</v>
      </c>
      <c r="E34" s="204" t="s">
        <v>120</v>
      </c>
      <c r="F34" s="204" t="s">
        <v>534</v>
      </c>
      <c r="G34" s="205">
        <v>14</v>
      </c>
      <c r="H34" s="205">
        <v>12</v>
      </c>
      <c r="I34" s="206">
        <f t="shared" si="0"/>
        <v>0.8571428571428571</v>
      </c>
      <c r="J34" s="207" t="str">
        <f t="shared" si="2"/>
        <v>수료</v>
      </c>
      <c r="K34" s="197"/>
      <c r="L34" s="88"/>
      <c r="M34" s="88"/>
      <c r="N34" s="88"/>
      <c r="O34" s="88"/>
      <c r="P34" s="88"/>
      <c r="Q34" s="88"/>
      <c r="R34" s="88"/>
      <c r="S34" s="260"/>
      <c r="T34" s="260"/>
      <c r="U34" s="260"/>
      <c r="V34" s="260"/>
      <c r="W34" s="260"/>
      <c r="X34" s="260"/>
      <c r="Y34" s="260"/>
      <c r="Z34" s="260"/>
      <c r="AA34" s="260"/>
      <c r="AB34" s="260"/>
      <c r="AC34" s="260"/>
      <c r="AD34" s="260"/>
    </row>
    <row r="35" spans="2:30" ht="20.100000000000001" customHeight="1">
      <c r="B35" s="108">
        <v>32</v>
      </c>
      <c r="C35" s="256"/>
      <c r="D35" s="204" t="s">
        <v>254</v>
      </c>
      <c r="E35" s="204" t="s">
        <v>120</v>
      </c>
      <c r="F35" s="204" t="s">
        <v>257</v>
      </c>
      <c r="G35" s="205">
        <v>14</v>
      </c>
      <c r="H35" s="205">
        <v>13</v>
      </c>
      <c r="I35" s="206">
        <f t="shared" si="0"/>
        <v>0.9285714285714286</v>
      </c>
      <c r="J35" s="207" t="str">
        <f t="shared" si="2"/>
        <v>수료</v>
      </c>
      <c r="K35" s="197"/>
      <c r="L35" s="88"/>
      <c r="M35" s="88"/>
      <c r="N35" s="88"/>
      <c r="O35" s="88"/>
      <c r="P35" s="88"/>
      <c r="Q35" s="88"/>
      <c r="R35" s="88"/>
      <c r="S35" s="260"/>
      <c r="T35" s="260"/>
      <c r="U35" s="260"/>
      <c r="V35" s="260"/>
      <c r="W35" s="260"/>
      <c r="X35" s="260"/>
      <c r="Y35" s="260"/>
      <c r="Z35" s="260"/>
      <c r="AA35" s="260"/>
      <c r="AB35" s="260"/>
      <c r="AC35" s="260"/>
      <c r="AD35" s="260"/>
    </row>
    <row r="36" spans="2:30" ht="20.100000000000001" customHeight="1">
      <c r="B36" s="108">
        <v>33</v>
      </c>
      <c r="C36" s="256"/>
      <c r="D36" s="204" t="s">
        <v>526</v>
      </c>
      <c r="E36" s="204" t="s">
        <v>122</v>
      </c>
      <c r="F36" s="204" t="s">
        <v>535</v>
      </c>
      <c r="G36" s="205">
        <v>14</v>
      </c>
      <c r="H36" s="205">
        <v>4</v>
      </c>
      <c r="I36" s="206">
        <f t="shared" si="0"/>
        <v>0.2857142857142857</v>
      </c>
      <c r="J36" s="207" t="str">
        <f t="shared" si="2"/>
        <v>미수료</v>
      </c>
      <c r="K36" s="197"/>
      <c r="L36" s="88"/>
      <c r="M36" s="88"/>
      <c r="N36" s="88"/>
      <c r="O36" s="88"/>
      <c r="P36" s="88"/>
      <c r="Q36" s="88"/>
      <c r="R36" s="88"/>
      <c r="S36" s="260"/>
      <c r="T36" s="260"/>
      <c r="U36" s="260"/>
      <c r="V36" s="260"/>
      <c r="W36" s="260"/>
      <c r="X36" s="260"/>
      <c r="Y36" s="260"/>
      <c r="Z36" s="260"/>
      <c r="AA36" s="260"/>
      <c r="AB36" s="260"/>
      <c r="AC36" s="260"/>
      <c r="AD36" s="260"/>
    </row>
    <row r="37" spans="2:30" ht="20.100000000000001" customHeight="1">
      <c r="B37" s="108">
        <v>34</v>
      </c>
      <c r="C37" s="256"/>
      <c r="D37" s="204" t="s">
        <v>527</v>
      </c>
      <c r="E37" s="204" t="s">
        <v>122</v>
      </c>
      <c r="F37" s="204" t="s">
        <v>536</v>
      </c>
      <c r="G37" s="205">
        <v>14</v>
      </c>
      <c r="H37" s="205">
        <v>13</v>
      </c>
      <c r="I37" s="206">
        <f t="shared" si="0"/>
        <v>0.9285714285714286</v>
      </c>
      <c r="J37" s="207" t="str">
        <f t="shared" si="2"/>
        <v>수료</v>
      </c>
      <c r="K37" s="197"/>
      <c r="L37" s="88"/>
      <c r="M37" s="88"/>
      <c r="N37" s="88"/>
      <c r="O37" s="88"/>
      <c r="P37" s="88"/>
      <c r="Q37" s="88"/>
      <c r="R37" s="88"/>
      <c r="S37" s="260"/>
      <c r="T37" s="260"/>
      <c r="U37" s="260"/>
      <c r="V37" s="260"/>
      <c r="W37" s="260"/>
      <c r="X37" s="260"/>
      <c r="Y37" s="260"/>
      <c r="Z37" s="260"/>
      <c r="AA37" s="260"/>
      <c r="AB37" s="260"/>
      <c r="AC37" s="260"/>
      <c r="AD37" s="260"/>
    </row>
    <row r="38" spans="2:30" ht="20.100000000000001" customHeight="1">
      <c r="B38" s="108">
        <v>35</v>
      </c>
      <c r="C38" s="256"/>
      <c r="D38" s="204" t="s">
        <v>152</v>
      </c>
      <c r="E38" s="204" t="s">
        <v>120</v>
      </c>
      <c r="F38" s="204" t="s">
        <v>153</v>
      </c>
      <c r="G38" s="205">
        <v>14</v>
      </c>
      <c r="H38" s="205">
        <v>12</v>
      </c>
      <c r="I38" s="206">
        <f t="shared" si="0"/>
        <v>0.8571428571428571</v>
      </c>
      <c r="J38" s="207" t="str">
        <f t="shared" si="2"/>
        <v>수료</v>
      </c>
      <c r="K38" s="197"/>
      <c r="L38" s="88"/>
      <c r="M38" s="88"/>
      <c r="O38" s="88"/>
      <c r="P38" s="88"/>
      <c r="Q38" s="88"/>
      <c r="R38" s="88"/>
      <c r="S38" s="88"/>
      <c r="T38" s="88"/>
      <c r="U38" s="88"/>
      <c r="V38" s="88"/>
      <c r="W38" s="88"/>
      <c r="X38" s="88"/>
      <c r="Y38" s="88"/>
      <c r="Z38" s="88"/>
      <c r="AA38" s="88"/>
      <c r="AB38" s="88"/>
      <c r="AC38" s="258"/>
      <c r="AD38" s="258"/>
    </row>
    <row r="39" spans="2:30" ht="20.100000000000001" customHeight="1">
      <c r="B39" s="108">
        <v>36</v>
      </c>
      <c r="C39" s="256"/>
      <c r="D39" s="204" t="s">
        <v>528</v>
      </c>
      <c r="E39" s="204" t="s">
        <v>122</v>
      </c>
      <c r="F39" s="204" t="s">
        <v>537</v>
      </c>
      <c r="G39" s="205">
        <v>14</v>
      </c>
      <c r="H39" s="205">
        <v>12</v>
      </c>
      <c r="I39" s="206">
        <f t="shared" si="0"/>
        <v>0.8571428571428571</v>
      </c>
      <c r="J39" s="207" t="str">
        <f t="shared" si="2"/>
        <v>수료</v>
      </c>
      <c r="K39" s="197"/>
      <c r="L39" s="88"/>
      <c r="M39" s="88"/>
      <c r="N39" s="88"/>
      <c r="O39" s="88"/>
      <c r="P39" s="88"/>
      <c r="Q39" s="88"/>
      <c r="R39" s="88"/>
      <c r="S39" s="88"/>
      <c r="T39" s="88"/>
      <c r="U39" s="88"/>
      <c r="V39" s="88"/>
      <c r="W39" s="88"/>
      <c r="X39" s="88"/>
      <c r="Y39" s="88"/>
      <c r="Z39" s="88"/>
      <c r="AA39" s="88"/>
      <c r="AB39" s="88"/>
      <c r="AC39" s="258"/>
      <c r="AD39" s="258"/>
    </row>
    <row r="40" spans="2:30" ht="20.100000000000001" customHeight="1">
      <c r="B40" s="108">
        <v>37</v>
      </c>
      <c r="C40" s="256"/>
      <c r="D40" s="204" t="s">
        <v>529</v>
      </c>
      <c r="E40" s="204" t="s">
        <v>120</v>
      </c>
      <c r="F40" s="204" t="s">
        <v>538</v>
      </c>
      <c r="G40" s="205">
        <v>14</v>
      </c>
      <c r="H40" s="205">
        <v>11</v>
      </c>
      <c r="I40" s="206">
        <f t="shared" si="0"/>
        <v>0.7857142857142857</v>
      </c>
      <c r="J40" s="207" t="str">
        <f t="shared" si="2"/>
        <v>수료</v>
      </c>
      <c r="K40" s="197"/>
      <c r="L40" s="88"/>
      <c r="M40" s="88"/>
      <c r="N40" s="88"/>
      <c r="O40" s="88"/>
      <c r="P40" s="88"/>
      <c r="Q40" s="88"/>
      <c r="R40" s="88"/>
      <c r="S40" s="88"/>
      <c r="T40" s="88"/>
      <c r="U40" s="88"/>
      <c r="V40" s="88"/>
      <c r="W40" s="88"/>
      <c r="X40" s="88"/>
      <c r="Y40" s="88"/>
      <c r="Z40" s="88"/>
      <c r="AA40" s="88"/>
      <c r="AB40" s="88"/>
      <c r="AC40" s="258"/>
      <c r="AD40" s="258"/>
    </row>
    <row r="41" spans="2:30" ht="20.100000000000001" customHeight="1">
      <c r="B41" s="108">
        <v>38</v>
      </c>
      <c r="C41" s="256"/>
      <c r="D41" s="204" t="s">
        <v>115</v>
      </c>
      <c r="E41" s="204" t="s">
        <v>120</v>
      </c>
      <c r="F41" s="204" t="s">
        <v>154</v>
      </c>
      <c r="G41" s="205">
        <v>14</v>
      </c>
      <c r="H41" s="205">
        <v>14</v>
      </c>
      <c r="I41" s="206">
        <f t="shared" si="0"/>
        <v>1</v>
      </c>
      <c r="J41" s="207" t="str">
        <f t="shared" si="2"/>
        <v>수료</v>
      </c>
      <c r="K41" s="197"/>
      <c r="L41" s="88"/>
      <c r="M41" s="88"/>
      <c r="N41" s="88"/>
      <c r="O41" s="88"/>
      <c r="P41" s="88"/>
      <c r="Q41" s="88"/>
      <c r="R41" s="88"/>
      <c r="S41" s="88"/>
      <c r="T41" s="88"/>
      <c r="U41" s="88"/>
      <c r="V41" s="88"/>
      <c r="W41" s="88"/>
      <c r="X41" s="88"/>
      <c r="Y41" s="88"/>
      <c r="Z41" s="88"/>
      <c r="AA41" s="88"/>
      <c r="AB41" s="88"/>
      <c r="AC41" s="258"/>
      <c r="AD41" s="258"/>
    </row>
    <row r="42" spans="2:30" ht="20.100000000000001" customHeight="1">
      <c r="B42" s="108">
        <v>39</v>
      </c>
      <c r="C42" s="256"/>
      <c r="D42" s="204" t="s">
        <v>530</v>
      </c>
      <c r="E42" s="204" t="s">
        <v>120</v>
      </c>
      <c r="F42" s="204" t="s">
        <v>539</v>
      </c>
      <c r="G42" s="205">
        <v>14</v>
      </c>
      <c r="H42" s="205">
        <v>7</v>
      </c>
      <c r="I42" s="206">
        <f t="shared" si="0"/>
        <v>0.5</v>
      </c>
      <c r="J42" s="207" t="str">
        <f t="shared" si="2"/>
        <v>미수료</v>
      </c>
      <c r="K42" s="197"/>
      <c r="L42" s="88"/>
      <c r="N42" s="88"/>
      <c r="O42" s="88"/>
      <c r="P42" s="88"/>
      <c r="Q42" s="88"/>
      <c r="R42" s="88"/>
      <c r="S42" s="88"/>
      <c r="T42" s="88"/>
      <c r="U42" s="88"/>
      <c r="V42" s="88"/>
      <c r="W42" s="88"/>
      <c r="X42" s="88"/>
      <c r="Y42" s="88"/>
      <c r="Z42" s="88"/>
      <c r="AA42" s="88"/>
      <c r="AB42" s="88"/>
      <c r="AC42" s="258"/>
      <c r="AD42" s="258"/>
    </row>
    <row r="43" spans="2:30" ht="20.100000000000001" customHeight="1">
      <c r="B43" s="108">
        <v>40</v>
      </c>
      <c r="C43" s="256"/>
      <c r="D43" s="204" t="s">
        <v>531</v>
      </c>
      <c r="E43" s="204" t="s">
        <v>122</v>
      </c>
      <c r="F43" s="204" t="s">
        <v>540</v>
      </c>
      <c r="G43" s="205">
        <v>14</v>
      </c>
      <c r="H43" s="205">
        <v>8</v>
      </c>
      <c r="I43" s="206">
        <f t="shared" si="0"/>
        <v>0.5714285714285714</v>
      </c>
      <c r="J43" s="207" t="str">
        <f t="shared" si="2"/>
        <v>미수료</v>
      </c>
      <c r="K43" s="197"/>
      <c r="L43" s="88"/>
      <c r="M43" s="88"/>
      <c r="N43" s="88"/>
      <c r="O43" s="88"/>
      <c r="P43" s="88"/>
      <c r="Q43" s="88"/>
      <c r="R43" s="88"/>
      <c r="S43" s="88"/>
      <c r="T43" s="88"/>
      <c r="U43" s="88"/>
      <c r="V43" s="88"/>
      <c r="W43" s="88"/>
      <c r="X43" s="88"/>
      <c r="Y43" s="88"/>
      <c r="Z43" s="88"/>
      <c r="AA43" s="88"/>
      <c r="AB43" s="88"/>
      <c r="AC43" s="258"/>
      <c r="AD43" s="258"/>
    </row>
    <row r="44" spans="2:30" ht="20.100000000000001" customHeight="1">
      <c r="B44" s="108">
        <v>41</v>
      </c>
      <c r="C44" s="256"/>
      <c r="D44" s="204" t="s">
        <v>532</v>
      </c>
      <c r="E44" s="204" t="s">
        <v>120</v>
      </c>
      <c r="F44" s="204" t="s">
        <v>541</v>
      </c>
      <c r="G44" s="205">
        <v>14</v>
      </c>
      <c r="H44" s="205">
        <v>12</v>
      </c>
      <c r="I44" s="206">
        <f t="shared" si="0"/>
        <v>0.8571428571428571</v>
      </c>
      <c r="J44" s="207" t="str">
        <f t="shared" si="2"/>
        <v>수료</v>
      </c>
      <c r="K44" s="197"/>
      <c r="L44" s="88"/>
      <c r="M44" s="88"/>
      <c r="N44" s="88"/>
      <c r="O44" s="88"/>
      <c r="P44" s="88"/>
      <c r="Q44" s="88"/>
      <c r="R44" s="88"/>
      <c r="S44" s="88"/>
      <c r="T44" s="88"/>
      <c r="U44" s="88"/>
      <c r="V44" s="88"/>
      <c r="W44" s="88"/>
      <c r="X44" s="88"/>
      <c r="Y44" s="88"/>
      <c r="Z44" s="88"/>
      <c r="AA44" s="88"/>
      <c r="AB44" s="88"/>
      <c r="AC44" s="88"/>
      <c r="AD44" s="258"/>
    </row>
    <row r="45" spans="2:30" ht="20.100000000000001" customHeight="1">
      <c r="B45" s="108">
        <v>42</v>
      </c>
      <c r="C45" s="256"/>
      <c r="D45" s="204" t="s">
        <v>197</v>
      </c>
      <c r="E45" s="204" t="s">
        <v>120</v>
      </c>
      <c r="F45" s="204" t="s">
        <v>198</v>
      </c>
      <c r="G45" s="205">
        <v>14</v>
      </c>
      <c r="H45" s="205">
        <v>12</v>
      </c>
      <c r="I45" s="206">
        <f t="shared" si="0"/>
        <v>0.8571428571428571</v>
      </c>
      <c r="J45" s="207" t="str">
        <f t="shared" si="2"/>
        <v>수료</v>
      </c>
      <c r="K45" s="197"/>
      <c r="L45" s="88"/>
      <c r="M45" s="88"/>
      <c r="N45" s="88"/>
      <c r="O45" s="88"/>
      <c r="P45" s="88"/>
      <c r="Q45" s="88"/>
      <c r="R45" s="88"/>
      <c r="S45" s="88"/>
      <c r="T45" s="88"/>
      <c r="U45" s="88"/>
      <c r="V45" s="88"/>
      <c r="W45" s="88"/>
      <c r="X45" s="88"/>
      <c r="Y45" s="88"/>
      <c r="Z45" s="88"/>
      <c r="AA45" s="88"/>
      <c r="AB45" s="88"/>
      <c r="AC45" s="88"/>
      <c r="AD45" s="258"/>
    </row>
    <row r="46" spans="2:30" ht="20.100000000000001" customHeight="1">
      <c r="B46" s="108">
        <v>43</v>
      </c>
      <c r="C46" s="256"/>
      <c r="D46" s="204" t="s">
        <v>156</v>
      </c>
      <c r="E46" s="204" t="s">
        <v>120</v>
      </c>
      <c r="F46" s="204" t="s">
        <v>157</v>
      </c>
      <c r="G46" s="205">
        <v>14</v>
      </c>
      <c r="H46" s="205">
        <v>14</v>
      </c>
      <c r="I46" s="206">
        <f t="shared" si="0"/>
        <v>1</v>
      </c>
      <c r="J46" s="207" t="str">
        <f t="shared" si="2"/>
        <v>수료</v>
      </c>
      <c r="K46" s="197"/>
      <c r="L46" s="88"/>
      <c r="M46" s="88"/>
      <c r="N46" s="88"/>
      <c r="O46" s="88"/>
      <c r="P46" s="88"/>
      <c r="Q46" s="88"/>
      <c r="R46" s="88"/>
      <c r="S46" s="88"/>
      <c r="T46" s="88"/>
      <c r="U46" s="88"/>
      <c r="V46" s="88"/>
      <c r="W46" s="88"/>
      <c r="X46" s="88"/>
      <c r="Y46" s="88"/>
      <c r="Z46" s="88"/>
      <c r="AA46" s="88"/>
      <c r="AB46" s="88"/>
      <c r="AC46" s="88"/>
      <c r="AD46" s="258"/>
    </row>
    <row r="47" spans="2:30" ht="20.100000000000001" customHeight="1">
      <c r="B47" s="108">
        <v>44</v>
      </c>
      <c r="C47" s="256"/>
      <c r="D47" s="204" t="s">
        <v>255</v>
      </c>
      <c r="E47" s="204" t="s">
        <v>120</v>
      </c>
      <c r="F47" s="204" t="s">
        <v>258</v>
      </c>
      <c r="G47" s="205">
        <v>14</v>
      </c>
      <c r="H47" s="205">
        <v>11</v>
      </c>
      <c r="I47" s="206">
        <f t="shared" si="0"/>
        <v>0.7857142857142857</v>
      </c>
      <c r="J47" s="207" t="str">
        <f t="shared" si="2"/>
        <v>수료</v>
      </c>
      <c r="K47" s="197"/>
      <c r="L47" s="88"/>
      <c r="M47" s="88"/>
      <c r="N47" s="88"/>
      <c r="O47" s="88"/>
      <c r="P47" s="88"/>
      <c r="Q47" s="88"/>
      <c r="R47" s="88"/>
      <c r="S47" s="88"/>
      <c r="T47" s="88"/>
      <c r="U47" s="88"/>
      <c r="V47" s="88"/>
      <c r="W47" s="88"/>
      <c r="X47" s="88"/>
      <c r="Y47" s="88"/>
      <c r="Z47" s="88"/>
      <c r="AA47" s="88"/>
      <c r="AB47" s="88"/>
      <c r="AC47" s="88"/>
      <c r="AD47" s="258"/>
    </row>
    <row r="48" spans="2:30" ht="20.100000000000001" customHeight="1">
      <c r="B48" s="108">
        <v>45</v>
      </c>
      <c r="C48" s="256"/>
      <c r="D48" s="204" t="s">
        <v>533</v>
      </c>
      <c r="E48" s="204" t="s">
        <v>120</v>
      </c>
      <c r="F48" s="204" t="s">
        <v>542</v>
      </c>
      <c r="G48" s="205">
        <v>14</v>
      </c>
      <c r="H48" s="205">
        <v>7</v>
      </c>
      <c r="I48" s="206">
        <f>H48/G48</f>
        <v>0.5</v>
      </c>
      <c r="J48" s="207" t="str">
        <f t="shared" si="2"/>
        <v>미수료</v>
      </c>
      <c r="K48" s="197"/>
      <c r="L48" s="88"/>
      <c r="M48" s="88"/>
      <c r="N48" s="88"/>
      <c r="O48" s="88"/>
      <c r="P48" s="88"/>
      <c r="Q48" s="88"/>
      <c r="R48" s="88"/>
      <c r="S48" s="88"/>
      <c r="T48" s="88"/>
      <c r="U48" s="88"/>
      <c r="V48" s="88"/>
      <c r="W48" s="88"/>
      <c r="X48" s="88"/>
      <c r="Y48" s="88"/>
      <c r="Z48" s="88"/>
      <c r="AA48" s="88"/>
      <c r="AB48" s="88"/>
      <c r="AC48" s="88"/>
      <c r="AD48" s="258"/>
    </row>
    <row r="49" spans="2:30" ht="20.100000000000001" customHeight="1">
      <c r="B49" s="108">
        <v>46</v>
      </c>
      <c r="C49" s="256" t="s">
        <v>138</v>
      </c>
      <c r="D49" s="204" t="s">
        <v>119</v>
      </c>
      <c r="E49" s="204" t="s">
        <v>120</v>
      </c>
      <c r="F49" s="204" t="s">
        <v>262</v>
      </c>
      <c r="G49" s="205">
        <v>14</v>
      </c>
      <c r="H49" s="205">
        <v>14</v>
      </c>
      <c r="I49" s="206">
        <f>H49/G49</f>
        <v>1</v>
      </c>
      <c r="J49" s="207" t="str">
        <f t="shared" si="2"/>
        <v>수료</v>
      </c>
      <c r="K49" s="197"/>
      <c r="L49" s="127"/>
      <c r="M49" s="127"/>
      <c r="N49" s="127"/>
      <c r="O49" s="127"/>
      <c r="P49" s="127"/>
      <c r="Q49" s="127"/>
      <c r="R49" s="127"/>
      <c r="S49" s="127"/>
      <c r="T49" s="127"/>
      <c r="U49" s="127"/>
      <c r="V49" s="127"/>
      <c r="W49" s="127"/>
      <c r="X49" s="127"/>
      <c r="Y49" s="127"/>
      <c r="Z49" s="127"/>
      <c r="AA49" s="127"/>
      <c r="AB49" s="127"/>
      <c r="AC49" s="127"/>
      <c r="AD49" s="258"/>
    </row>
    <row r="50" spans="2:30" ht="20.100000000000001" customHeight="1">
      <c r="B50" s="108">
        <v>47</v>
      </c>
      <c r="C50" s="256"/>
      <c r="D50" s="204" t="s">
        <v>119</v>
      </c>
      <c r="E50" s="204" t="s">
        <v>120</v>
      </c>
      <c r="F50" s="204" t="s">
        <v>159</v>
      </c>
      <c r="G50" s="205">
        <v>14</v>
      </c>
      <c r="H50" s="205">
        <v>14</v>
      </c>
      <c r="I50" s="206">
        <f>H50/G50</f>
        <v>1</v>
      </c>
      <c r="J50" s="207" t="str">
        <f t="shared" si="2"/>
        <v>수료</v>
      </c>
      <c r="K50" s="197"/>
      <c r="L50" s="88"/>
      <c r="M50" s="88"/>
      <c r="N50" s="88"/>
      <c r="O50" s="88"/>
      <c r="P50" s="88"/>
      <c r="Q50" s="88"/>
      <c r="R50" s="88"/>
      <c r="S50" s="88"/>
      <c r="T50" s="88"/>
      <c r="U50" s="88"/>
      <c r="V50" s="88"/>
      <c r="W50" s="88"/>
      <c r="X50" s="88"/>
      <c r="Y50" s="88"/>
      <c r="Z50" s="88"/>
      <c r="AA50" s="88"/>
      <c r="AB50" s="88"/>
      <c r="AC50" s="88"/>
      <c r="AD50" s="258"/>
    </row>
    <row r="51" spans="2:30" ht="20.100000000000001" customHeight="1">
      <c r="B51" s="108">
        <v>48</v>
      </c>
      <c r="C51" s="256"/>
      <c r="D51" s="204" t="s">
        <v>179</v>
      </c>
      <c r="E51" s="204" t="s">
        <v>120</v>
      </c>
      <c r="F51" s="204" t="s">
        <v>180</v>
      </c>
      <c r="G51" s="205">
        <v>14</v>
      </c>
      <c r="H51" s="205">
        <v>0</v>
      </c>
      <c r="I51" s="206">
        <f>H51/G51</f>
        <v>0</v>
      </c>
      <c r="J51" s="207" t="str">
        <f t="shared" si="2"/>
        <v>미수료</v>
      </c>
      <c r="K51" s="197"/>
      <c r="L51" s="88"/>
      <c r="M51" s="88"/>
      <c r="N51" s="88"/>
      <c r="O51" s="88"/>
      <c r="P51" s="88"/>
      <c r="Q51" s="88"/>
      <c r="R51" s="88"/>
      <c r="S51" s="88"/>
      <c r="T51" s="88"/>
      <c r="U51" s="88"/>
      <c r="V51" s="88"/>
      <c r="W51" s="88"/>
      <c r="X51" s="88"/>
      <c r="Y51" s="88"/>
      <c r="Z51" s="88"/>
      <c r="AA51" s="88"/>
      <c r="AB51" s="88"/>
      <c r="AC51" s="88"/>
      <c r="AD51" s="258"/>
    </row>
    <row r="52" spans="2:30" ht="20.100000000000001" customHeight="1">
      <c r="B52" s="108">
        <v>49</v>
      </c>
      <c r="C52" s="256"/>
      <c r="D52" s="204" t="s">
        <v>543</v>
      </c>
      <c r="E52" s="204" t="s">
        <v>122</v>
      </c>
      <c r="F52" s="204" t="s">
        <v>546</v>
      </c>
      <c r="G52" s="205">
        <v>14</v>
      </c>
      <c r="H52" s="205">
        <v>4</v>
      </c>
      <c r="I52" s="206">
        <f>H52/G52</f>
        <v>0.2857142857142857</v>
      </c>
      <c r="J52" s="207" t="str">
        <f t="shared" si="2"/>
        <v>미수료</v>
      </c>
      <c r="K52" s="197"/>
      <c r="L52" s="88"/>
      <c r="M52" s="88"/>
      <c r="N52" s="88"/>
      <c r="O52" s="88"/>
      <c r="P52" s="88"/>
      <c r="Q52" s="88"/>
      <c r="R52" s="88"/>
      <c r="S52" s="88"/>
      <c r="T52" s="88"/>
      <c r="U52" s="88"/>
      <c r="V52" s="88"/>
      <c r="W52" s="88"/>
      <c r="X52" s="88"/>
      <c r="Y52" s="88"/>
      <c r="Z52" s="88"/>
      <c r="AA52" s="88"/>
      <c r="AB52" s="88"/>
      <c r="AC52" s="88"/>
      <c r="AD52" s="258"/>
    </row>
    <row r="53" spans="2:30" ht="20.100000000000001" customHeight="1">
      <c r="B53" s="108">
        <v>50</v>
      </c>
      <c r="C53" s="256"/>
      <c r="D53" s="204" t="s">
        <v>275</v>
      </c>
      <c r="E53" s="204" t="s">
        <v>120</v>
      </c>
      <c r="F53" s="204" t="s">
        <v>285</v>
      </c>
      <c r="G53" s="205">
        <v>14</v>
      </c>
      <c r="H53" s="205">
        <v>13</v>
      </c>
      <c r="I53" s="206">
        <f t="shared" si="0"/>
        <v>0.9285714285714286</v>
      </c>
      <c r="J53" s="207" t="str">
        <f t="shared" si="2"/>
        <v>수료</v>
      </c>
      <c r="K53" s="197"/>
      <c r="L53" s="88"/>
      <c r="M53" s="88"/>
      <c r="N53" s="88"/>
      <c r="O53" s="88"/>
      <c r="P53" s="88"/>
      <c r="Q53" s="88"/>
      <c r="R53" s="88"/>
      <c r="S53" s="88"/>
      <c r="T53" s="88"/>
      <c r="U53" s="88"/>
      <c r="V53" s="88"/>
      <c r="W53" s="88"/>
      <c r="X53" s="88"/>
      <c r="Y53" s="88"/>
      <c r="Z53" s="88"/>
      <c r="AA53" s="88"/>
      <c r="AB53" s="88"/>
      <c r="AC53" s="88"/>
      <c r="AD53" s="258"/>
    </row>
    <row r="54" spans="2:30" ht="20.100000000000001" customHeight="1">
      <c r="B54" s="108">
        <v>51</v>
      </c>
      <c r="C54" s="256"/>
      <c r="D54" s="204" t="s">
        <v>126</v>
      </c>
      <c r="E54" s="204" t="s">
        <v>120</v>
      </c>
      <c r="F54" s="204" t="s">
        <v>514</v>
      </c>
      <c r="G54" s="205">
        <v>14</v>
      </c>
      <c r="H54" s="205">
        <v>4</v>
      </c>
      <c r="I54" s="206">
        <f t="shared" si="0"/>
        <v>0.2857142857142857</v>
      </c>
      <c r="J54" s="207" t="str">
        <f t="shared" si="2"/>
        <v>미수료</v>
      </c>
      <c r="K54" s="197"/>
      <c r="L54" s="88"/>
      <c r="M54" s="88"/>
      <c r="N54" s="88"/>
      <c r="O54" s="88"/>
      <c r="P54" s="88"/>
      <c r="Q54" s="88"/>
      <c r="R54" s="88"/>
      <c r="S54" s="88"/>
      <c r="T54" s="88"/>
      <c r="U54" s="88"/>
      <c r="V54" s="88"/>
      <c r="W54" s="88"/>
      <c r="X54" s="88"/>
      <c r="Y54" s="88"/>
      <c r="Z54" s="88"/>
      <c r="AA54" s="88"/>
      <c r="AB54" s="88"/>
      <c r="AC54" s="88"/>
      <c r="AD54" s="258"/>
    </row>
    <row r="55" spans="2:30" ht="20.100000000000001" customHeight="1">
      <c r="B55" s="108">
        <v>52</v>
      </c>
      <c r="C55" s="256"/>
      <c r="D55" s="204" t="s">
        <v>544</v>
      </c>
      <c r="E55" s="204" t="s">
        <v>120</v>
      </c>
      <c r="F55" s="204" t="s">
        <v>547</v>
      </c>
      <c r="G55" s="205">
        <v>14</v>
      </c>
      <c r="H55" s="205">
        <v>13</v>
      </c>
      <c r="I55" s="206">
        <f t="shared" si="0"/>
        <v>0.9285714285714286</v>
      </c>
      <c r="J55" s="207" t="str">
        <f t="shared" si="2"/>
        <v>수료</v>
      </c>
      <c r="K55" s="197"/>
      <c r="L55" s="88"/>
      <c r="M55" s="88"/>
      <c r="N55" s="88"/>
      <c r="O55" s="88"/>
      <c r="P55" s="88"/>
      <c r="Q55" s="88"/>
      <c r="R55" s="88"/>
      <c r="S55" s="88"/>
      <c r="T55" s="88"/>
      <c r="U55" s="88"/>
      <c r="V55" s="88"/>
      <c r="W55" s="88"/>
      <c r="X55" s="88"/>
      <c r="Y55" s="88"/>
      <c r="Z55" s="88"/>
      <c r="AA55" s="88"/>
      <c r="AB55" s="88"/>
      <c r="AC55" s="88"/>
      <c r="AD55" s="258"/>
    </row>
    <row r="56" spans="2:30" ht="20.100000000000001" customHeight="1">
      <c r="B56" s="108">
        <v>53</v>
      </c>
      <c r="C56" s="256"/>
      <c r="D56" s="204" t="s">
        <v>162</v>
      </c>
      <c r="E56" s="204" t="s">
        <v>120</v>
      </c>
      <c r="F56" s="204" t="s">
        <v>163</v>
      </c>
      <c r="G56" s="205">
        <v>14</v>
      </c>
      <c r="H56" s="205">
        <v>14</v>
      </c>
      <c r="I56" s="206">
        <f>H56/G56</f>
        <v>1</v>
      </c>
      <c r="J56" s="207" t="str">
        <f t="shared" si="2"/>
        <v>수료</v>
      </c>
      <c r="K56" s="197"/>
      <c r="L56" s="127"/>
      <c r="M56" s="127"/>
      <c r="N56" s="127"/>
      <c r="O56" s="127"/>
      <c r="P56" s="127"/>
      <c r="Q56" s="127"/>
      <c r="R56" s="127"/>
      <c r="S56" s="127"/>
      <c r="T56" s="127"/>
      <c r="U56" s="127"/>
      <c r="V56" s="127"/>
      <c r="W56" s="127"/>
      <c r="X56" s="127"/>
      <c r="Y56" s="127"/>
      <c r="Z56" s="127"/>
      <c r="AA56" s="127"/>
      <c r="AB56" s="127"/>
      <c r="AC56" s="127"/>
      <c r="AD56" s="258"/>
    </row>
    <row r="57" spans="2:30" ht="20.100000000000001" customHeight="1">
      <c r="B57" s="108">
        <v>54</v>
      </c>
      <c r="C57" s="256"/>
      <c r="D57" s="204" t="s">
        <v>164</v>
      </c>
      <c r="E57" s="204" t="s">
        <v>120</v>
      </c>
      <c r="F57" s="204" t="s">
        <v>165</v>
      </c>
      <c r="G57" s="205">
        <v>14</v>
      </c>
      <c r="H57" s="205">
        <v>14</v>
      </c>
      <c r="I57" s="206">
        <f>H57/G57</f>
        <v>1</v>
      </c>
      <c r="J57" s="207" t="str">
        <f t="shared" si="2"/>
        <v>수료</v>
      </c>
      <c r="K57" s="197"/>
      <c r="L57" s="127"/>
      <c r="M57" s="127"/>
      <c r="N57" s="127"/>
      <c r="O57" s="127"/>
      <c r="P57" s="127"/>
      <c r="Q57" s="127"/>
      <c r="R57" s="127"/>
      <c r="S57" s="127"/>
      <c r="T57" s="127"/>
      <c r="U57" s="127"/>
      <c r="V57" s="127"/>
      <c r="W57" s="127"/>
      <c r="X57" s="127"/>
      <c r="Y57" s="127"/>
      <c r="Z57" s="127"/>
      <c r="AA57" s="127"/>
      <c r="AB57" s="127"/>
      <c r="AC57" s="127"/>
      <c r="AD57" s="258"/>
    </row>
    <row r="58" spans="2:30" ht="20.100000000000001" customHeight="1">
      <c r="B58" s="108">
        <v>55</v>
      </c>
      <c r="C58" s="256"/>
      <c r="D58" s="204" t="s">
        <v>166</v>
      </c>
      <c r="E58" s="204" t="s">
        <v>120</v>
      </c>
      <c r="F58" s="204" t="s">
        <v>167</v>
      </c>
      <c r="G58" s="205">
        <v>14</v>
      </c>
      <c r="H58" s="205">
        <v>14</v>
      </c>
      <c r="I58" s="206">
        <f>H58/G58</f>
        <v>1</v>
      </c>
      <c r="J58" s="207" t="str">
        <f t="shared" si="2"/>
        <v>수료</v>
      </c>
      <c r="K58" s="197"/>
      <c r="L58" s="127"/>
      <c r="M58" s="127"/>
      <c r="N58" s="127"/>
      <c r="O58" s="127"/>
      <c r="P58" s="127"/>
      <c r="Q58" s="127"/>
      <c r="R58" s="127"/>
      <c r="S58" s="127"/>
      <c r="T58" s="127"/>
      <c r="U58" s="127"/>
      <c r="V58" s="127"/>
      <c r="W58" s="127"/>
      <c r="X58" s="127"/>
      <c r="Y58" s="127"/>
      <c r="Z58" s="127"/>
      <c r="AA58" s="127"/>
      <c r="AB58" s="127"/>
      <c r="AC58" s="127"/>
      <c r="AD58" s="258"/>
    </row>
    <row r="59" spans="2:30" ht="20.100000000000001" customHeight="1">
      <c r="B59" s="108">
        <v>56</v>
      </c>
      <c r="C59" s="256"/>
      <c r="D59" s="204" t="s">
        <v>168</v>
      </c>
      <c r="E59" s="204" t="s">
        <v>120</v>
      </c>
      <c r="F59" s="204" t="s">
        <v>169</v>
      </c>
      <c r="G59" s="205">
        <v>14</v>
      </c>
      <c r="H59" s="205">
        <v>14</v>
      </c>
      <c r="I59" s="206">
        <f>H59/G59</f>
        <v>1</v>
      </c>
      <c r="J59" s="207" t="str">
        <f t="shared" si="2"/>
        <v>수료</v>
      </c>
      <c r="K59" s="197"/>
      <c r="L59" s="127"/>
      <c r="M59" s="127"/>
      <c r="N59" s="127"/>
      <c r="O59" s="127"/>
      <c r="P59" s="127"/>
      <c r="Q59" s="127"/>
      <c r="R59" s="127"/>
      <c r="S59" s="127"/>
      <c r="T59" s="127"/>
      <c r="U59" s="127"/>
      <c r="V59" s="127"/>
      <c r="W59" s="127"/>
      <c r="X59" s="127"/>
      <c r="Y59" s="127"/>
      <c r="Z59" s="127"/>
      <c r="AA59" s="127"/>
      <c r="AB59" s="127"/>
      <c r="AC59" s="127"/>
      <c r="AD59" s="258"/>
    </row>
    <row r="60" spans="2:30" ht="20.100000000000001" customHeight="1">
      <c r="B60" s="108">
        <v>57</v>
      </c>
      <c r="C60" s="256"/>
      <c r="D60" s="204" t="s">
        <v>260</v>
      </c>
      <c r="E60" s="204" t="s">
        <v>122</v>
      </c>
      <c r="F60" s="204" t="s">
        <v>263</v>
      </c>
      <c r="G60" s="205">
        <v>14</v>
      </c>
      <c r="H60" s="205">
        <v>14</v>
      </c>
      <c r="I60" s="206">
        <f>H60/G60</f>
        <v>1</v>
      </c>
      <c r="J60" s="207" t="str">
        <f t="shared" si="2"/>
        <v>수료</v>
      </c>
      <c r="K60" s="197"/>
      <c r="L60" s="127"/>
      <c r="M60" s="127"/>
      <c r="N60" s="127"/>
      <c r="O60" s="127"/>
      <c r="P60" s="127"/>
      <c r="Q60" s="127"/>
      <c r="R60" s="127"/>
      <c r="S60" s="127"/>
      <c r="T60" s="127"/>
      <c r="U60" s="127"/>
      <c r="V60" s="127"/>
      <c r="W60" s="127"/>
      <c r="X60" s="127"/>
      <c r="Y60" s="127"/>
      <c r="Z60" s="127"/>
      <c r="AA60" s="127"/>
      <c r="AB60" s="127"/>
      <c r="AC60" s="127"/>
      <c r="AD60" s="258"/>
    </row>
    <row r="61" spans="2:30" ht="20.100000000000001" customHeight="1">
      <c r="B61" s="108">
        <v>58</v>
      </c>
      <c r="C61" s="256"/>
      <c r="D61" s="204" t="s">
        <v>545</v>
      </c>
      <c r="E61" s="204" t="s">
        <v>122</v>
      </c>
      <c r="F61" s="204" t="s">
        <v>548</v>
      </c>
      <c r="G61" s="205">
        <v>14</v>
      </c>
      <c r="H61" s="205">
        <v>14</v>
      </c>
      <c r="I61" s="206">
        <f t="shared" si="0"/>
        <v>1</v>
      </c>
      <c r="J61" s="207" t="str">
        <f t="shared" si="2"/>
        <v>수료</v>
      </c>
      <c r="K61" s="197"/>
      <c r="L61" s="88"/>
      <c r="M61" s="88"/>
      <c r="N61" s="88"/>
      <c r="O61" s="88"/>
      <c r="P61" s="88"/>
      <c r="Q61" s="88"/>
      <c r="R61" s="88"/>
      <c r="S61" s="88"/>
      <c r="T61" s="88"/>
      <c r="U61" s="88"/>
      <c r="V61" s="88"/>
      <c r="W61" s="88"/>
      <c r="X61" s="88"/>
      <c r="Y61" s="88"/>
      <c r="Z61" s="88"/>
      <c r="AA61" s="88"/>
      <c r="AB61" s="88"/>
      <c r="AC61" s="88"/>
      <c r="AD61" s="258"/>
    </row>
    <row r="62" spans="2:30" ht="20.100000000000001" customHeight="1">
      <c r="B62" s="108">
        <v>59</v>
      </c>
      <c r="C62" s="256"/>
      <c r="D62" s="204" t="s">
        <v>261</v>
      </c>
      <c r="E62" s="204" t="s">
        <v>120</v>
      </c>
      <c r="F62" s="204" t="s">
        <v>264</v>
      </c>
      <c r="G62" s="205">
        <v>14</v>
      </c>
      <c r="H62" s="205">
        <v>14</v>
      </c>
      <c r="I62" s="206">
        <f t="shared" ref="I62:I126" si="3">H62/G62</f>
        <v>1</v>
      </c>
      <c r="J62" s="207" t="str">
        <f t="shared" si="2"/>
        <v>수료</v>
      </c>
      <c r="K62" s="197"/>
      <c r="L62" s="88"/>
      <c r="M62" s="88"/>
      <c r="N62" s="88"/>
      <c r="O62" s="88"/>
      <c r="P62" s="88"/>
      <c r="Q62" s="88"/>
      <c r="R62" s="88"/>
      <c r="S62" s="88"/>
      <c r="T62" s="88"/>
      <c r="U62" s="88"/>
      <c r="V62" s="88"/>
      <c r="W62" s="88"/>
      <c r="X62" s="88"/>
      <c r="Y62" s="88"/>
      <c r="Z62" s="88"/>
      <c r="AA62" s="88"/>
      <c r="AB62" s="88"/>
      <c r="AC62" s="88"/>
      <c r="AD62" s="258"/>
    </row>
    <row r="63" spans="2:30" ht="20.100000000000001" customHeight="1">
      <c r="B63" s="108">
        <v>60</v>
      </c>
      <c r="C63" s="256"/>
      <c r="D63" s="204" t="s">
        <v>190</v>
      </c>
      <c r="E63" s="204" t="s">
        <v>120</v>
      </c>
      <c r="F63" s="204" t="s">
        <v>191</v>
      </c>
      <c r="G63" s="205">
        <v>14</v>
      </c>
      <c r="H63" s="205">
        <v>14</v>
      </c>
      <c r="I63" s="206">
        <f t="shared" si="3"/>
        <v>1</v>
      </c>
      <c r="J63" s="207" t="str">
        <f t="shared" si="2"/>
        <v>수료</v>
      </c>
      <c r="K63" s="197"/>
      <c r="L63" s="88"/>
      <c r="M63" s="88"/>
      <c r="N63" s="88"/>
      <c r="O63" s="88"/>
      <c r="P63" s="88"/>
      <c r="Q63" s="88"/>
      <c r="R63" s="88"/>
      <c r="S63" s="88"/>
      <c r="T63" s="88"/>
      <c r="U63" s="88"/>
      <c r="V63" s="88"/>
      <c r="W63" s="88"/>
      <c r="X63" s="88"/>
      <c r="Y63" s="88"/>
      <c r="Z63" s="88"/>
      <c r="AA63" s="88"/>
      <c r="AB63" s="88"/>
      <c r="AC63" s="88"/>
      <c r="AD63" s="258"/>
    </row>
    <row r="64" spans="2:30" ht="20.100000000000001" customHeight="1">
      <c r="B64" s="108">
        <v>61</v>
      </c>
      <c r="C64" s="256" t="s">
        <v>139</v>
      </c>
      <c r="D64" s="204" t="s">
        <v>549</v>
      </c>
      <c r="E64" s="204" t="s">
        <v>122</v>
      </c>
      <c r="F64" s="204" t="s">
        <v>563</v>
      </c>
      <c r="G64" s="205">
        <v>13</v>
      </c>
      <c r="H64" s="205">
        <v>11</v>
      </c>
      <c r="I64" s="206">
        <f t="shared" si="3"/>
        <v>0.84615384615384615</v>
      </c>
      <c r="J64" s="207" t="str">
        <f t="shared" si="2"/>
        <v>수료</v>
      </c>
    </row>
    <row r="65" spans="2:30" ht="20.100000000000001" customHeight="1">
      <c r="B65" s="108">
        <v>62</v>
      </c>
      <c r="C65" s="256"/>
      <c r="D65" s="204" t="s">
        <v>151</v>
      </c>
      <c r="E65" s="204" t="s">
        <v>120</v>
      </c>
      <c r="F65" s="204" t="s">
        <v>125</v>
      </c>
      <c r="G65" s="205">
        <v>13</v>
      </c>
      <c r="H65" s="205">
        <v>13</v>
      </c>
      <c r="I65" s="206">
        <f t="shared" si="3"/>
        <v>1</v>
      </c>
      <c r="J65" s="207" t="str">
        <f t="shared" si="2"/>
        <v>수료</v>
      </c>
      <c r="V65" s="88"/>
    </row>
    <row r="66" spans="2:30" ht="20.100000000000001" customHeight="1">
      <c r="B66" s="108">
        <v>63</v>
      </c>
      <c r="C66" s="256"/>
      <c r="D66" s="204" t="s">
        <v>271</v>
      </c>
      <c r="E66" s="204" t="s">
        <v>122</v>
      </c>
      <c r="F66" s="204" t="s">
        <v>281</v>
      </c>
      <c r="G66" s="205">
        <v>13</v>
      </c>
      <c r="H66" s="205">
        <v>13</v>
      </c>
      <c r="I66" s="206">
        <f t="shared" si="3"/>
        <v>1</v>
      </c>
      <c r="J66" s="207" t="str">
        <f t="shared" si="2"/>
        <v>수료</v>
      </c>
      <c r="Q66" s="88"/>
      <c r="V66" s="88"/>
    </row>
    <row r="67" spans="2:30" ht="20.100000000000001" customHeight="1">
      <c r="B67" s="108">
        <v>64</v>
      </c>
      <c r="C67" s="256"/>
      <c r="D67" s="204" t="s">
        <v>272</v>
      </c>
      <c r="E67" s="204" t="s">
        <v>120</v>
      </c>
      <c r="F67" s="204" t="s">
        <v>282</v>
      </c>
      <c r="G67" s="205">
        <v>13</v>
      </c>
      <c r="H67" s="205">
        <v>13</v>
      </c>
      <c r="I67" s="206">
        <f t="shared" si="3"/>
        <v>1</v>
      </c>
      <c r="J67" s="207" t="str">
        <f t="shared" si="2"/>
        <v>수료</v>
      </c>
    </row>
    <row r="68" spans="2:30" ht="20.100000000000001" customHeight="1">
      <c r="B68" s="108">
        <v>65</v>
      </c>
      <c r="C68" s="256"/>
      <c r="D68" s="204" t="s">
        <v>550</v>
      </c>
      <c r="E68" s="204" t="s">
        <v>120</v>
      </c>
      <c r="F68" s="204" t="s">
        <v>564</v>
      </c>
      <c r="G68" s="205">
        <v>13</v>
      </c>
      <c r="H68" s="205">
        <v>7</v>
      </c>
      <c r="I68" s="206">
        <f t="shared" si="3"/>
        <v>0.53846153846153844</v>
      </c>
      <c r="J68" s="207" t="str">
        <f t="shared" si="2"/>
        <v>미수료</v>
      </c>
    </row>
    <row r="69" spans="2:30" ht="20.100000000000001" customHeight="1">
      <c r="B69" s="108">
        <v>66</v>
      </c>
      <c r="C69" s="256"/>
      <c r="D69" s="204" t="s">
        <v>170</v>
      </c>
      <c r="E69" s="204" t="s">
        <v>120</v>
      </c>
      <c r="F69" s="204" t="s">
        <v>171</v>
      </c>
      <c r="G69" s="205">
        <v>13</v>
      </c>
      <c r="H69" s="205">
        <v>13</v>
      </c>
      <c r="I69" s="206">
        <f>H69/G69</f>
        <v>1</v>
      </c>
      <c r="J69" s="207" t="str">
        <f t="shared" si="2"/>
        <v>수료</v>
      </c>
    </row>
    <row r="70" spans="2:30" ht="20.100000000000001" customHeight="1">
      <c r="B70" s="108">
        <v>67</v>
      </c>
      <c r="C70" s="256"/>
      <c r="D70" s="204" t="s">
        <v>551</v>
      </c>
      <c r="E70" s="204" t="s">
        <v>120</v>
      </c>
      <c r="F70" s="204" t="s">
        <v>565</v>
      </c>
      <c r="G70" s="205">
        <v>13</v>
      </c>
      <c r="H70" s="205">
        <v>11</v>
      </c>
      <c r="I70" s="206">
        <f>H70/G70</f>
        <v>0.84615384615384615</v>
      </c>
      <c r="J70" s="207" t="str">
        <f t="shared" si="2"/>
        <v>수료</v>
      </c>
    </row>
    <row r="71" spans="2:30" ht="20.100000000000001" customHeight="1">
      <c r="B71" s="108">
        <v>68</v>
      </c>
      <c r="C71" s="256"/>
      <c r="D71" s="204" t="s">
        <v>152</v>
      </c>
      <c r="E71" s="204" t="s">
        <v>120</v>
      </c>
      <c r="F71" s="204" t="s">
        <v>153</v>
      </c>
      <c r="G71" s="205">
        <v>13</v>
      </c>
      <c r="H71" s="205">
        <v>1</v>
      </c>
      <c r="I71" s="206">
        <f>H71/G71</f>
        <v>7.6923076923076927E-2</v>
      </c>
      <c r="J71" s="207" t="str">
        <f t="shared" si="2"/>
        <v>미수료</v>
      </c>
    </row>
    <row r="72" spans="2:30" ht="20.100000000000001" customHeight="1">
      <c r="B72" s="108">
        <v>69</v>
      </c>
      <c r="C72" s="256"/>
      <c r="D72" s="204" t="s">
        <v>552</v>
      </c>
      <c r="E72" s="204" t="s">
        <v>120</v>
      </c>
      <c r="F72" s="204" t="s">
        <v>566</v>
      </c>
      <c r="G72" s="205">
        <v>13</v>
      </c>
      <c r="H72" s="205">
        <v>12</v>
      </c>
      <c r="I72" s="206">
        <f t="shared" si="3"/>
        <v>0.92307692307692313</v>
      </c>
      <c r="J72" s="207" t="str">
        <f t="shared" si="2"/>
        <v>수료</v>
      </c>
    </row>
    <row r="73" spans="2:30" ht="20.100000000000001" customHeight="1">
      <c r="B73" s="108">
        <v>70</v>
      </c>
      <c r="C73" s="256"/>
      <c r="D73" s="204" t="s">
        <v>553</v>
      </c>
      <c r="E73" s="204" t="s">
        <v>120</v>
      </c>
      <c r="F73" s="204" t="s">
        <v>567</v>
      </c>
      <c r="G73" s="205">
        <v>13</v>
      </c>
      <c r="H73" s="205">
        <v>12</v>
      </c>
      <c r="I73" s="206">
        <f>H73/G73</f>
        <v>0.92307692307692313</v>
      </c>
      <c r="J73" s="207" t="str">
        <f t="shared" si="2"/>
        <v>수료</v>
      </c>
      <c r="L73" s="128"/>
      <c r="M73" s="128"/>
      <c r="N73" s="128"/>
      <c r="O73" s="128"/>
      <c r="P73" s="128"/>
      <c r="Q73" s="128"/>
      <c r="R73" s="128"/>
      <c r="S73" s="128"/>
      <c r="T73" s="128"/>
      <c r="U73" s="128"/>
      <c r="V73" s="128"/>
      <c r="W73" s="128"/>
      <c r="X73" s="128"/>
      <c r="Y73" s="128"/>
      <c r="Z73" s="128"/>
      <c r="AA73" s="128"/>
      <c r="AB73" s="128"/>
      <c r="AC73" s="128"/>
      <c r="AD73" s="128"/>
    </row>
    <row r="74" spans="2:30" ht="20.100000000000001" customHeight="1">
      <c r="B74" s="108">
        <v>71</v>
      </c>
      <c r="C74" s="256"/>
      <c r="D74" s="204" t="s">
        <v>554</v>
      </c>
      <c r="E74" s="204" t="s">
        <v>120</v>
      </c>
      <c r="F74" s="204" t="s">
        <v>568</v>
      </c>
      <c r="G74" s="205">
        <v>13</v>
      </c>
      <c r="H74" s="205">
        <v>0</v>
      </c>
      <c r="I74" s="206">
        <f>H74/G74</f>
        <v>0</v>
      </c>
      <c r="J74" s="207" t="str">
        <f t="shared" si="2"/>
        <v>미수료</v>
      </c>
      <c r="L74" s="128"/>
      <c r="M74" s="128"/>
      <c r="N74" s="128"/>
      <c r="O74" s="128"/>
      <c r="P74" s="128"/>
      <c r="Q74" s="128"/>
      <c r="R74" s="128"/>
      <c r="S74" s="128"/>
      <c r="T74" s="128"/>
      <c r="U74" s="128"/>
      <c r="V74" s="128"/>
      <c r="W74" s="128"/>
      <c r="X74" s="128"/>
      <c r="Y74" s="128"/>
      <c r="Z74" s="128"/>
      <c r="AA74" s="128"/>
      <c r="AB74" s="128"/>
      <c r="AC74" s="128"/>
      <c r="AD74" s="128"/>
    </row>
    <row r="75" spans="2:30" ht="20.100000000000001" customHeight="1">
      <c r="B75" s="108">
        <v>72</v>
      </c>
      <c r="C75" s="256"/>
      <c r="D75" s="204" t="s">
        <v>273</v>
      </c>
      <c r="E75" s="204" t="s">
        <v>120</v>
      </c>
      <c r="F75" s="204" t="s">
        <v>283</v>
      </c>
      <c r="G75" s="205">
        <v>13</v>
      </c>
      <c r="H75" s="205">
        <v>13</v>
      </c>
      <c r="I75" s="206">
        <f t="shared" si="3"/>
        <v>1</v>
      </c>
      <c r="J75" s="207" t="str">
        <f t="shared" si="2"/>
        <v>수료</v>
      </c>
    </row>
    <row r="76" spans="2:30" ht="20.100000000000001" customHeight="1">
      <c r="B76" s="108">
        <v>73</v>
      </c>
      <c r="C76" s="256"/>
      <c r="D76" s="204" t="s">
        <v>177</v>
      </c>
      <c r="E76" s="204" t="s">
        <v>120</v>
      </c>
      <c r="F76" s="204" t="s">
        <v>178</v>
      </c>
      <c r="G76" s="205">
        <v>13</v>
      </c>
      <c r="H76" s="205">
        <v>11</v>
      </c>
      <c r="I76" s="206">
        <f t="shared" si="3"/>
        <v>0.84615384615384615</v>
      </c>
      <c r="J76" s="207" t="str">
        <f t="shared" si="2"/>
        <v>수료</v>
      </c>
    </row>
    <row r="77" spans="2:30" ht="20.100000000000001" customHeight="1">
      <c r="B77" s="108">
        <v>74</v>
      </c>
      <c r="C77" s="256"/>
      <c r="D77" s="204" t="s">
        <v>274</v>
      </c>
      <c r="E77" s="204" t="s">
        <v>120</v>
      </c>
      <c r="F77" s="204" t="s">
        <v>284</v>
      </c>
      <c r="G77" s="205">
        <v>13</v>
      </c>
      <c r="H77" s="205">
        <v>13</v>
      </c>
      <c r="I77" s="206">
        <f t="shared" si="3"/>
        <v>1</v>
      </c>
      <c r="J77" s="207" t="str">
        <f t="shared" si="2"/>
        <v>수료</v>
      </c>
    </row>
    <row r="78" spans="2:30" ht="20.100000000000001" customHeight="1">
      <c r="B78" s="108">
        <v>75</v>
      </c>
      <c r="C78" s="256"/>
      <c r="D78" s="204" t="s">
        <v>555</v>
      </c>
      <c r="E78" s="204" t="s">
        <v>120</v>
      </c>
      <c r="F78" s="204" t="s">
        <v>569</v>
      </c>
      <c r="G78" s="205">
        <v>13</v>
      </c>
      <c r="H78" s="205">
        <v>11</v>
      </c>
      <c r="I78" s="206">
        <f t="shared" si="3"/>
        <v>0.84615384615384615</v>
      </c>
      <c r="J78" s="207" t="str">
        <f t="shared" si="2"/>
        <v>수료</v>
      </c>
    </row>
    <row r="79" spans="2:30" ht="20.100000000000001" customHeight="1">
      <c r="B79" s="108">
        <v>76</v>
      </c>
      <c r="C79" s="256"/>
      <c r="D79" s="204" t="s">
        <v>160</v>
      </c>
      <c r="E79" s="204" t="s">
        <v>120</v>
      </c>
      <c r="F79" s="204" t="s">
        <v>161</v>
      </c>
      <c r="G79" s="205">
        <v>13</v>
      </c>
      <c r="H79" s="205">
        <v>12</v>
      </c>
      <c r="I79" s="206">
        <f t="shared" si="3"/>
        <v>0.92307692307692313</v>
      </c>
      <c r="J79" s="207" t="str">
        <f t="shared" si="2"/>
        <v>수료</v>
      </c>
    </row>
    <row r="80" spans="2:30" ht="20.100000000000001" customHeight="1">
      <c r="B80" s="108">
        <v>77</v>
      </c>
      <c r="C80" s="256"/>
      <c r="D80" s="204" t="s">
        <v>295</v>
      </c>
      <c r="E80" s="204" t="s">
        <v>120</v>
      </c>
      <c r="F80" s="204" t="s">
        <v>297</v>
      </c>
      <c r="G80" s="205">
        <v>13</v>
      </c>
      <c r="H80" s="205">
        <v>13</v>
      </c>
      <c r="I80" s="206">
        <f t="shared" si="3"/>
        <v>1</v>
      </c>
      <c r="J80" s="207" t="str">
        <f t="shared" si="2"/>
        <v>수료</v>
      </c>
    </row>
    <row r="81" spans="2:30" ht="20.100000000000001" customHeight="1">
      <c r="B81" s="108">
        <v>78</v>
      </c>
      <c r="C81" s="256"/>
      <c r="D81" s="204" t="s">
        <v>276</v>
      </c>
      <c r="E81" s="204" t="s">
        <v>120</v>
      </c>
      <c r="F81" s="204" t="s">
        <v>155</v>
      </c>
      <c r="G81" s="205">
        <v>13</v>
      </c>
      <c r="H81" s="205">
        <v>13</v>
      </c>
      <c r="I81" s="206">
        <f t="shared" si="3"/>
        <v>1</v>
      </c>
      <c r="J81" s="207" t="str">
        <f t="shared" si="2"/>
        <v>수료</v>
      </c>
    </row>
    <row r="82" spans="2:30" ht="20.100000000000001" customHeight="1">
      <c r="B82" s="108">
        <v>79</v>
      </c>
      <c r="C82" s="256"/>
      <c r="D82" s="204" t="s">
        <v>126</v>
      </c>
      <c r="E82" s="204" t="s">
        <v>120</v>
      </c>
      <c r="F82" s="204" t="s">
        <v>514</v>
      </c>
      <c r="G82" s="205">
        <v>13</v>
      </c>
      <c r="H82" s="205">
        <v>9</v>
      </c>
      <c r="I82" s="206">
        <f t="shared" si="3"/>
        <v>0.69230769230769229</v>
      </c>
      <c r="J82" s="207" t="str">
        <f t="shared" ref="J82:J145" si="4">IF(I82&gt;=70%,"수료","미수료")</f>
        <v>미수료</v>
      </c>
    </row>
    <row r="83" spans="2:30" ht="20.100000000000001" customHeight="1">
      <c r="B83" s="108">
        <v>80</v>
      </c>
      <c r="C83" s="256"/>
      <c r="D83" s="204" t="s">
        <v>556</v>
      </c>
      <c r="E83" s="204" t="s">
        <v>120</v>
      </c>
      <c r="F83" s="204" t="s">
        <v>570</v>
      </c>
      <c r="G83" s="205">
        <v>13</v>
      </c>
      <c r="H83" s="205">
        <v>12</v>
      </c>
      <c r="I83" s="206">
        <f t="shared" si="3"/>
        <v>0.92307692307692313</v>
      </c>
      <c r="J83" s="207" t="str">
        <f t="shared" si="4"/>
        <v>수료</v>
      </c>
      <c r="K83" s="197"/>
      <c r="L83" s="88"/>
      <c r="M83" s="88"/>
      <c r="N83" s="88"/>
      <c r="O83" s="88"/>
      <c r="P83" s="88"/>
      <c r="Q83" s="88"/>
      <c r="R83" s="258"/>
      <c r="S83" s="258"/>
      <c r="T83" s="258"/>
      <c r="U83" s="258"/>
      <c r="V83" s="258"/>
      <c r="W83" s="258"/>
      <c r="X83" s="258"/>
      <c r="Y83" s="258"/>
      <c r="Z83" s="258"/>
      <c r="AA83" s="258"/>
      <c r="AB83" s="258"/>
      <c r="AC83" s="258"/>
      <c r="AD83" s="258"/>
    </row>
    <row r="84" spans="2:30" ht="20.100000000000001" customHeight="1">
      <c r="B84" s="108">
        <v>81</v>
      </c>
      <c r="C84" s="256"/>
      <c r="D84" s="204" t="s">
        <v>557</v>
      </c>
      <c r="E84" s="204" t="s">
        <v>120</v>
      </c>
      <c r="F84" s="204" t="s">
        <v>571</v>
      </c>
      <c r="G84" s="205">
        <v>13</v>
      </c>
      <c r="H84" s="205">
        <v>3</v>
      </c>
      <c r="I84" s="206">
        <f t="shared" si="3"/>
        <v>0.23076923076923078</v>
      </c>
      <c r="J84" s="207" t="str">
        <f t="shared" si="4"/>
        <v>미수료</v>
      </c>
      <c r="K84" s="197"/>
      <c r="L84" s="88"/>
      <c r="M84" s="88"/>
      <c r="N84" s="88"/>
      <c r="O84" s="88"/>
      <c r="P84" s="88"/>
      <c r="Q84" s="88"/>
      <c r="R84" s="258"/>
      <c r="S84" s="258"/>
      <c r="T84" s="258"/>
      <c r="U84" s="258"/>
      <c r="V84" s="258"/>
      <c r="W84" s="258"/>
      <c r="X84" s="258"/>
      <c r="Y84" s="258"/>
      <c r="Z84" s="258"/>
      <c r="AA84" s="258"/>
      <c r="AB84" s="258"/>
      <c r="AC84" s="258"/>
      <c r="AD84" s="258"/>
    </row>
    <row r="85" spans="2:30" ht="20.100000000000001" customHeight="1">
      <c r="B85" s="108">
        <v>82</v>
      </c>
      <c r="C85" s="256"/>
      <c r="D85" s="204" t="s">
        <v>558</v>
      </c>
      <c r="E85" s="204" t="s">
        <v>120</v>
      </c>
      <c r="F85" s="204" t="s">
        <v>572</v>
      </c>
      <c r="G85" s="205">
        <v>13</v>
      </c>
      <c r="H85" s="205">
        <v>12</v>
      </c>
      <c r="I85" s="206">
        <f t="shared" si="3"/>
        <v>0.92307692307692313</v>
      </c>
      <c r="J85" s="207" t="str">
        <f t="shared" si="4"/>
        <v>수료</v>
      </c>
      <c r="K85" s="197"/>
      <c r="L85" s="88"/>
      <c r="M85" s="88"/>
      <c r="N85" s="88"/>
      <c r="O85" s="88"/>
      <c r="P85" s="88"/>
      <c r="Q85" s="88"/>
      <c r="R85" s="258"/>
      <c r="S85" s="258"/>
      <c r="T85" s="258"/>
      <c r="U85" s="258"/>
      <c r="V85" s="258"/>
      <c r="W85" s="258"/>
      <c r="X85" s="258"/>
      <c r="Y85" s="258"/>
      <c r="Z85" s="258"/>
      <c r="AA85" s="258"/>
      <c r="AB85" s="258"/>
      <c r="AC85" s="258"/>
      <c r="AD85" s="258"/>
    </row>
    <row r="86" spans="2:30" ht="20.100000000000001" customHeight="1">
      <c r="B86" s="108">
        <v>83</v>
      </c>
      <c r="C86" s="256"/>
      <c r="D86" s="204" t="s">
        <v>277</v>
      </c>
      <c r="E86" s="204" t="s">
        <v>122</v>
      </c>
      <c r="F86" s="204" t="s">
        <v>286</v>
      </c>
      <c r="G86" s="205">
        <v>13</v>
      </c>
      <c r="H86" s="205">
        <v>12</v>
      </c>
      <c r="I86" s="206">
        <f t="shared" si="3"/>
        <v>0.92307692307692313</v>
      </c>
      <c r="J86" s="207" t="str">
        <f t="shared" si="4"/>
        <v>수료</v>
      </c>
      <c r="K86" s="197"/>
      <c r="L86" s="88"/>
      <c r="M86" s="88"/>
      <c r="N86" s="88"/>
      <c r="O86" s="88"/>
      <c r="P86" s="88"/>
      <c r="Q86" s="88"/>
      <c r="R86" s="258"/>
      <c r="S86" s="258"/>
      <c r="T86" s="258"/>
      <c r="U86" s="258"/>
      <c r="V86" s="258"/>
      <c r="W86" s="258"/>
      <c r="X86" s="258"/>
      <c r="Y86" s="258"/>
      <c r="Z86" s="258"/>
      <c r="AA86" s="258"/>
      <c r="AB86" s="258"/>
      <c r="AC86" s="258"/>
      <c r="AD86" s="258"/>
    </row>
    <row r="87" spans="2:30" ht="20.100000000000001" customHeight="1">
      <c r="B87" s="108">
        <v>84</v>
      </c>
      <c r="C87" s="256"/>
      <c r="D87" s="204" t="s">
        <v>162</v>
      </c>
      <c r="E87" s="204" t="s">
        <v>120</v>
      </c>
      <c r="F87" s="204" t="s">
        <v>163</v>
      </c>
      <c r="G87" s="205">
        <v>13</v>
      </c>
      <c r="H87" s="205">
        <v>12</v>
      </c>
      <c r="I87" s="206">
        <f t="shared" si="3"/>
        <v>0.92307692307692313</v>
      </c>
      <c r="J87" s="207" t="str">
        <f t="shared" si="4"/>
        <v>수료</v>
      </c>
      <c r="K87" s="197"/>
      <c r="L87" s="88"/>
      <c r="M87" s="88"/>
      <c r="N87" s="88"/>
      <c r="O87" s="88"/>
      <c r="P87" s="88"/>
      <c r="Q87" s="88"/>
      <c r="R87" s="258"/>
      <c r="S87" s="258"/>
      <c r="T87" s="258"/>
      <c r="U87" s="258"/>
      <c r="V87" s="258"/>
      <c r="W87" s="258"/>
      <c r="X87" s="258"/>
      <c r="Y87" s="258"/>
      <c r="Z87" s="258"/>
      <c r="AA87" s="258"/>
      <c r="AB87" s="258"/>
      <c r="AC87" s="258"/>
      <c r="AD87" s="258"/>
    </row>
    <row r="88" spans="2:30" ht="20.100000000000001" customHeight="1">
      <c r="B88" s="108">
        <v>85</v>
      </c>
      <c r="C88" s="256"/>
      <c r="D88" s="204" t="s">
        <v>559</v>
      </c>
      <c r="E88" s="204" t="s">
        <v>120</v>
      </c>
      <c r="F88" s="204" t="s">
        <v>573</v>
      </c>
      <c r="G88" s="205">
        <v>13</v>
      </c>
      <c r="H88" s="205">
        <v>12</v>
      </c>
      <c r="I88" s="206">
        <f t="shared" si="3"/>
        <v>0.92307692307692313</v>
      </c>
      <c r="J88" s="207" t="str">
        <f t="shared" si="4"/>
        <v>수료</v>
      </c>
      <c r="K88" s="197"/>
      <c r="L88" s="88"/>
      <c r="M88" s="88"/>
      <c r="N88" s="88"/>
      <c r="O88" s="88"/>
      <c r="P88" s="88"/>
      <c r="Q88" s="88"/>
      <c r="R88" s="258"/>
      <c r="S88" s="258"/>
      <c r="T88" s="258"/>
      <c r="U88" s="258"/>
      <c r="V88" s="258"/>
      <c r="W88" s="258"/>
      <c r="X88" s="258"/>
      <c r="Y88" s="258"/>
      <c r="Z88" s="258"/>
      <c r="AA88" s="258"/>
      <c r="AB88" s="258"/>
      <c r="AC88" s="258"/>
      <c r="AD88" s="258"/>
    </row>
    <row r="89" spans="2:30" ht="20.100000000000001" customHeight="1">
      <c r="B89" s="108">
        <v>86</v>
      </c>
      <c r="C89" s="256"/>
      <c r="D89" s="204" t="s">
        <v>164</v>
      </c>
      <c r="E89" s="204" t="s">
        <v>120</v>
      </c>
      <c r="F89" s="204" t="s">
        <v>165</v>
      </c>
      <c r="G89" s="205">
        <v>13</v>
      </c>
      <c r="H89" s="205">
        <v>13</v>
      </c>
      <c r="I89" s="206">
        <f t="shared" ref="I89:I107" si="5">H89/G89</f>
        <v>1</v>
      </c>
      <c r="J89" s="207" t="str">
        <f t="shared" si="4"/>
        <v>수료</v>
      </c>
      <c r="K89" s="197"/>
      <c r="L89" s="127"/>
      <c r="M89" s="127"/>
      <c r="N89" s="127"/>
      <c r="O89" s="127"/>
      <c r="P89" s="127"/>
      <c r="Q89" s="127"/>
      <c r="R89" s="258"/>
      <c r="S89" s="258"/>
      <c r="T89" s="258"/>
      <c r="U89" s="258"/>
      <c r="V89" s="258"/>
      <c r="W89" s="258"/>
      <c r="X89" s="258"/>
      <c r="Y89" s="258"/>
      <c r="Z89" s="258"/>
      <c r="AA89" s="258"/>
      <c r="AB89" s="258"/>
      <c r="AC89" s="258"/>
      <c r="AD89" s="258"/>
    </row>
    <row r="90" spans="2:30" ht="20.100000000000001" customHeight="1">
      <c r="B90" s="108">
        <v>87</v>
      </c>
      <c r="C90" s="256"/>
      <c r="D90" s="204" t="s">
        <v>312</v>
      </c>
      <c r="E90" s="204" t="s">
        <v>120</v>
      </c>
      <c r="F90" s="204" t="s">
        <v>574</v>
      </c>
      <c r="G90" s="205">
        <v>13</v>
      </c>
      <c r="H90" s="205">
        <v>13</v>
      </c>
      <c r="I90" s="206">
        <f t="shared" si="5"/>
        <v>1</v>
      </c>
      <c r="J90" s="207" t="str">
        <f t="shared" si="4"/>
        <v>수료</v>
      </c>
      <c r="K90" s="197"/>
      <c r="L90" s="127"/>
      <c r="M90" s="127"/>
      <c r="N90" s="127"/>
      <c r="O90" s="127"/>
      <c r="P90" s="127"/>
      <c r="Q90" s="127"/>
      <c r="R90" s="258"/>
      <c r="S90" s="258"/>
      <c r="T90" s="258"/>
      <c r="U90" s="258"/>
      <c r="V90" s="258"/>
      <c r="W90" s="258"/>
      <c r="X90" s="258"/>
      <c r="Y90" s="258"/>
      <c r="Z90" s="258"/>
      <c r="AA90" s="258"/>
      <c r="AB90" s="258"/>
      <c r="AC90" s="258"/>
      <c r="AD90" s="258"/>
    </row>
    <row r="91" spans="2:30" ht="20.100000000000001" customHeight="1">
      <c r="B91" s="108">
        <v>88</v>
      </c>
      <c r="C91" s="256"/>
      <c r="D91" s="204" t="s">
        <v>183</v>
      </c>
      <c r="E91" s="204" t="s">
        <v>120</v>
      </c>
      <c r="F91" s="204" t="s">
        <v>184</v>
      </c>
      <c r="G91" s="205">
        <v>13</v>
      </c>
      <c r="H91" s="205">
        <v>11</v>
      </c>
      <c r="I91" s="206">
        <f t="shared" si="5"/>
        <v>0.84615384615384615</v>
      </c>
      <c r="J91" s="207" t="str">
        <f t="shared" si="4"/>
        <v>수료</v>
      </c>
      <c r="K91" s="197"/>
      <c r="L91" s="127"/>
      <c r="M91" s="127"/>
      <c r="N91" s="127"/>
      <c r="O91" s="127"/>
      <c r="P91" s="127"/>
      <c r="Q91" s="127"/>
      <c r="R91" s="258"/>
      <c r="S91" s="258"/>
      <c r="T91" s="258"/>
      <c r="U91" s="258"/>
      <c r="V91" s="258"/>
      <c r="W91" s="258"/>
      <c r="X91" s="258"/>
      <c r="Y91" s="258"/>
      <c r="Z91" s="258"/>
      <c r="AA91" s="258"/>
      <c r="AB91" s="258"/>
      <c r="AC91" s="258"/>
      <c r="AD91" s="258"/>
    </row>
    <row r="92" spans="2:30" ht="20.100000000000001" customHeight="1">
      <c r="B92" s="108">
        <v>89</v>
      </c>
      <c r="C92" s="256"/>
      <c r="D92" s="204" t="s">
        <v>278</v>
      </c>
      <c r="E92" s="204" t="s">
        <v>120</v>
      </c>
      <c r="F92" s="204" t="s">
        <v>288</v>
      </c>
      <c r="G92" s="205">
        <v>13</v>
      </c>
      <c r="H92" s="205">
        <v>8</v>
      </c>
      <c r="I92" s="206">
        <f t="shared" si="5"/>
        <v>0.61538461538461542</v>
      </c>
      <c r="J92" s="207" t="str">
        <f t="shared" si="4"/>
        <v>미수료</v>
      </c>
      <c r="K92" s="197"/>
      <c r="L92" s="127"/>
      <c r="M92" s="127"/>
      <c r="N92" s="127"/>
      <c r="O92" s="127"/>
      <c r="P92" s="127"/>
      <c r="Q92" s="127"/>
      <c r="R92" s="258"/>
      <c r="S92" s="258"/>
      <c r="T92" s="258"/>
      <c r="U92" s="258"/>
      <c r="V92" s="258"/>
      <c r="W92" s="258"/>
      <c r="X92" s="258"/>
      <c r="Y92" s="258"/>
      <c r="Z92" s="258"/>
      <c r="AA92" s="258"/>
      <c r="AB92" s="258"/>
      <c r="AC92" s="258"/>
      <c r="AD92" s="258"/>
    </row>
    <row r="93" spans="2:30" ht="20.100000000000001" customHeight="1">
      <c r="B93" s="108">
        <v>90</v>
      </c>
      <c r="C93" s="256"/>
      <c r="D93" s="204" t="s">
        <v>185</v>
      </c>
      <c r="E93" s="204" t="s">
        <v>120</v>
      </c>
      <c r="F93" s="204" t="s">
        <v>186</v>
      </c>
      <c r="G93" s="205">
        <v>13</v>
      </c>
      <c r="H93" s="205">
        <v>10</v>
      </c>
      <c r="I93" s="206">
        <f t="shared" si="5"/>
        <v>0.76923076923076927</v>
      </c>
      <c r="J93" s="207" t="str">
        <f t="shared" si="4"/>
        <v>수료</v>
      </c>
      <c r="K93" s="197"/>
      <c r="L93" s="127"/>
      <c r="M93" s="127"/>
      <c r="N93" s="127"/>
      <c r="O93" s="127"/>
      <c r="P93" s="127"/>
      <c r="Q93" s="127"/>
      <c r="R93" s="258"/>
      <c r="S93" s="258"/>
      <c r="T93" s="258"/>
      <c r="U93" s="258"/>
      <c r="V93" s="258"/>
      <c r="W93" s="258"/>
      <c r="X93" s="258"/>
      <c r="Y93" s="258"/>
      <c r="Z93" s="258"/>
      <c r="AA93" s="258"/>
      <c r="AB93" s="258"/>
      <c r="AC93" s="258"/>
      <c r="AD93" s="258"/>
    </row>
    <row r="94" spans="2:30" ht="20.100000000000001" customHeight="1">
      <c r="B94" s="108">
        <v>91</v>
      </c>
      <c r="C94" s="256"/>
      <c r="D94" s="204" t="s">
        <v>279</v>
      </c>
      <c r="E94" s="204" t="s">
        <v>120</v>
      </c>
      <c r="F94" s="204" t="s">
        <v>289</v>
      </c>
      <c r="G94" s="205">
        <v>13</v>
      </c>
      <c r="H94" s="205">
        <v>9</v>
      </c>
      <c r="I94" s="206">
        <f t="shared" si="5"/>
        <v>0.69230769230769229</v>
      </c>
      <c r="J94" s="207" t="str">
        <f t="shared" si="4"/>
        <v>미수료</v>
      </c>
      <c r="K94" s="197"/>
      <c r="L94" s="127"/>
      <c r="M94" s="127"/>
      <c r="N94" s="127"/>
      <c r="O94" s="127"/>
      <c r="P94" s="127"/>
      <c r="Q94" s="127"/>
      <c r="R94" s="258"/>
      <c r="S94" s="258"/>
      <c r="T94" s="258"/>
      <c r="U94" s="258"/>
      <c r="V94" s="258"/>
      <c r="W94" s="258"/>
      <c r="X94" s="258"/>
      <c r="Y94" s="258"/>
      <c r="Z94" s="258"/>
      <c r="AA94" s="258"/>
      <c r="AB94" s="258"/>
      <c r="AC94" s="258"/>
      <c r="AD94" s="258"/>
    </row>
    <row r="95" spans="2:30" ht="20.100000000000001" customHeight="1">
      <c r="B95" s="108">
        <v>92</v>
      </c>
      <c r="C95" s="256"/>
      <c r="D95" s="204" t="s">
        <v>168</v>
      </c>
      <c r="E95" s="204" t="s">
        <v>120</v>
      </c>
      <c r="F95" s="204" t="s">
        <v>169</v>
      </c>
      <c r="G95" s="205">
        <v>13</v>
      </c>
      <c r="H95" s="205">
        <v>13</v>
      </c>
      <c r="I95" s="206">
        <f t="shared" si="5"/>
        <v>1</v>
      </c>
      <c r="J95" s="207" t="str">
        <f t="shared" si="4"/>
        <v>수료</v>
      </c>
      <c r="K95" s="197"/>
      <c r="L95" s="127"/>
      <c r="M95" s="127"/>
      <c r="N95" s="127"/>
      <c r="O95" s="127"/>
      <c r="P95" s="127"/>
      <c r="Q95" s="127"/>
      <c r="R95" s="258"/>
      <c r="S95" s="258"/>
      <c r="T95" s="258"/>
      <c r="U95" s="258"/>
      <c r="V95" s="258"/>
      <c r="W95" s="258"/>
      <c r="X95" s="258"/>
      <c r="Y95" s="258"/>
      <c r="Z95" s="258"/>
      <c r="AA95" s="258"/>
      <c r="AB95" s="258"/>
      <c r="AC95" s="258"/>
      <c r="AD95" s="258"/>
    </row>
    <row r="96" spans="2:30" ht="20.100000000000001" customHeight="1">
      <c r="B96" s="108">
        <v>93</v>
      </c>
      <c r="C96" s="256"/>
      <c r="D96" s="204" t="s">
        <v>188</v>
      </c>
      <c r="E96" s="204" t="s">
        <v>120</v>
      </c>
      <c r="F96" s="204" t="s">
        <v>189</v>
      </c>
      <c r="G96" s="205">
        <v>13</v>
      </c>
      <c r="H96" s="205">
        <v>12</v>
      </c>
      <c r="I96" s="206">
        <f t="shared" si="5"/>
        <v>0.92307692307692313</v>
      </c>
      <c r="J96" s="207" t="str">
        <f t="shared" si="4"/>
        <v>수료</v>
      </c>
      <c r="K96" s="197"/>
      <c r="L96" s="127"/>
      <c r="M96" s="127"/>
      <c r="N96" s="127"/>
      <c r="O96" s="127"/>
      <c r="P96" s="127"/>
      <c r="Q96" s="127"/>
      <c r="R96" s="258"/>
      <c r="S96" s="258"/>
      <c r="T96" s="258"/>
      <c r="U96" s="258"/>
      <c r="V96" s="258"/>
      <c r="W96" s="258"/>
      <c r="X96" s="258"/>
      <c r="Y96" s="258"/>
      <c r="Z96" s="258"/>
      <c r="AA96" s="258"/>
      <c r="AB96" s="258"/>
      <c r="AC96" s="258"/>
      <c r="AD96" s="258"/>
    </row>
    <row r="97" spans="2:30" ht="20.100000000000001" customHeight="1">
      <c r="B97" s="108">
        <v>94</v>
      </c>
      <c r="C97" s="256"/>
      <c r="D97" s="204" t="s">
        <v>560</v>
      </c>
      <c r="E97" s="204" t="s">
        <v>120</v>
      </c>
      <c r="F97" s="204" t="s">
        <v>575</v>
      </c>
      <c r="G97" s="205">
        <v>13</v>
      </c>
      <c r="H97" s="205">
        <v>13</v>
      </c>
      <c r="I97" s="206">
        <f t="shared" si="5"/>
        <v>1</v>
      </c>
      <c r="J97" s="207" t="str">
        <f t="shared" si="4"/>
        <v>수료</v>
      </c>
      <c r="K97" s="197"/>
      <c r="L97" s="127"/>
      <c r="M97" s="127"/>
      <c r="N97" s="127"/>
      <c r="O97" s="127"/>
      <c r="P97" s="127"/>
      <c r="Q97" s="127"/>
      <c r="R97" s="258"/>
      <c r="S97" s="258"/>
      <c r="T97" s="258"/>
      <c r="U97" s="258"/>
      <c r="V97" s="258"/>
      <c r="W97" s="258"/>
      <c r="X97" s="258"/>
      <c r="Y97" s="258"/>
      <c r="Z97" s="258"/>
      <c r="AA97" s="258"/>
      <c r="AB97" s="258"/>
      <c r="AC97" s="258"/>
      <c r="AD97" s="258"/>
    </row>
    <row r="98" spans="2:30" ht="20.100000000000001" customHeight="1">
      <c r="B98" s="108">
        <v>95</v>
      </c>
      <c r="C98" s="256"/>
      <c r="D98" s="204" t="s">
        <v>261</v>
      </c>
      <c r="E98" s="204" t="s">
        <v>120</v>
      </c>
      <c r="F98" s="204" t="s">
        <v>264</v>
      </c>
      <c r="G98" s="205">
        <v>13</v>
      </c>
      <c r="H98" s="205">
        <v>13</v>
      </c>
      <c r="I98" s="206">
        <f t="shared" si="5"/>
        <v>1</v>
      </c>
      <c r="J98" s="207" t="str">
        <f t="shared" si="4"/>
        <v>수료</v>
      </c>
      <c r="K98" s="197"/>
      <c r="L98" s="127"/>
      <c r="M98" s="127"/>
      <c r="N98" s="127"/>
      <c r="O98" s="127"/>
      <c r="P98" s="127"/>
      <c r="Q98" s="127"/>
      <c r="R98" s="258"/>
      <c r="S98" s="258"/>
      <c r="T98" s="258"/>
      <c r="U98" s="258"/>
      <c r="V98" s="258"/>
      <c r="W98" s="258"/>
      <c r="X98" s="258"/>
      <c r="Y98" s="258"/>
      <c r="Z98" s="258"/>
      <c r="AA98" s="258"/>
      <c r="AB98" s="258"/>
      <c r="AC98" s="258"/>
      <c r="AD98" s="258"/>
    </row>
    <row r="99" spans="2:30" ht="20.100000000000001" customHeight="1">
      <c r="B99" s="108">
        <v>96</v>
      </c>
      <c r="C99" s="256"/>
      <c r="D99" s="204" t="s">
        <v>561</v>
      </c>
      <c r="E99" s="204" t="s">
        <v>120</v>
      </c>
      <c r="F99" s="204" t="s">
        <v>576</v>
      </c>
      <c r="G99" s="205">
        <v>13</v>
      </c>
      <c r="H99" s="205">
        <v>12</v>
      </c>
      <c r="I99" s="206">
        <f t="shared" si="5"/>
        <v>0.92307692307692313</v>
      </c>
      <c r="J99" s="207" t="str">
        <f t="shared" si="4"/>
        <v>수료</v>
      </c>
      <c r="K99" s="197"/>
      <c r="L99" s="127"/>
      <c r="M99" s="127"/>
      <c r="N99" s="127"/>
      <c r="O99" s="127"/>
      <c r="P99" s="127"/>
      <c r="Q99" s="127"/>
      <c r="R99" s="258"/>
      <c r="S99" s="258"/>
      <c r="T99" s="258"/>
      <c r="U99" s="258"/>
      <c r="V99" s="258"/>
      <c r="W99" s="258"/>
      <c r="X99" s="258"/>
      <c r="Y99" s="258"/>
      <c r="Z99" s="258"/>
      <c r="AA99" s="258"/>
      <c r="AB99" s="258"/>
      <c r="AC99" s="258"/>
      <c r="AD99" s="258"/>
    </row>
    <row r="100" spans="2:30" ht="20.100000000000001" customHeight="1">
      <c r="B100" s="108">
        <v>97</v>
      </c>
      <c r="C100" s="256"/>
      <c r="D100" s="204" t="s">
        <v>190</v>
      </c>
      <c r="E100" s="204" t="s">
        <v>120</v>
      </c>
      <c r="F100" s="204" t="s">
        <v>191</v>
      </c>
      <c r="G100" s="205">
        <v>13</v>
      </c>
      <c r="H100" s="205">
        <v>13</v>
      </c>
      <c r="I100" s="206">
        <f t="shared" si="5"/>
        <v>1</v>
      </c>
      <c r="J100" s="207" t="str">
        <f t="shared" si="4"/>
        <v>수료</v>
      </c>
      <c r="K100" s="197"/>
      <c r="L100" s="127"/>
      <c r="M100" s="127"/>
      <c r="N100" s="127"/>
      <c r="O100" s="127"/>
      <c r="P100" s="127"/>
      <c r="Q100" s="127"/>
      <c r="R100" s="258"/>
      <c r="S100" s="258"/>
      <c r="T100" s="258"/>
      <c r="U100" s="258"/>
      <c r="V100" s="258"/>
      <c r="W100" s="258"/>
      <c r="X100" s="258"/>
      <c r="Y100" s="258"/>
      <c r="Z100" s="258"/>
      <c r="AA100" s="258"/>
      <c r="AB100" s="258"/>
      <c r="AC100" s="258"/>
      <c r="AD100" s="258"/>
    </row>
    <row r="101" spans="2:30" ht="20.100000000000001" customHeight="1">
      <c r="B101" s="108">
        <v>98</v>
      </c>
      <c r="C101" s="256"/>
      <c r="D101" s="204" t="s">
        <v>562</v>
      </c>
      <c r="E101" s="204" t="s">
        <v>120</v>
      </c>
      <c r="F101" s="204" t="s">
        <v>577</v>
      </c>
      <c r="G101" s="205">
        <v>13</v>
      </c>
      <c r="H101" s="205">
        <v>12</v>
      </c>
      <c r="I101" s="206">
        <f t="shared" si="5"/>
        <v>0.92307692307692313</v>
      </c>
      <c r="J101" s="207" t="str">
        <f t="shared" si="4"/>
        <v>수료</v>
      </c>
      <c r="K101" s="197"/>
      <c r="L101" s="127"/>
      <c r="M101" s="127"/>
      <c r="N101" s="127"/>
      <c r="O101" s="127"/>
      <c r="P101" s="127"/>
      <c r="Q101" s="127"/>
      <c r="R101" s="258"/>
      <c r="S101" s="258"/>
      <c r="T101" s="258"/>
      <c r="U101" s="258"/>
      <c r="V101" s="258"/>
      <c r="W101" s="258"/>
      <c r="X101" s="258"/>
      <c r="Y101" s="258"/>
      <c r="Z101" s="258"/>
      <c r="AA101" s="258"/>
      <c r="AB101" s="258"/>
      <c r="AC101" s="258"/>
      <c r="AD101" s="258"/>
    </row>
    <row r="102" spans="2:30" ht="20.100000000000001" customHeight="1">
      <c r="B102" s="108">
        <v>99</v>
      </c>
      <c r="C102" s="256"/>
      <c r="D102" s="204" t="s">
        <v>280</v>
      </c>
      <c r="E102" s="204" t="s">
        <v>120</v>
      </c>
      <c r="F102" s="204" t="s">
        <v>290</v>
      </c>
      <c r="G102" s="205">
        <v>13</v>
      </c>
      <c r="H102" s="205">
        <v>6</v>
      </c>
      <c r="I102" s="206">
        <f t="shared" si="5"/>
        <v>0.46153846153846156</v>
      </c>
      <c r="J102" s="207" t="str">
        <f t="shared" si="4"/>
        <v>미수료</v>
      </c>
      <c r="K102" s="197"/>
      <c r="L102" s="127"/>
      <c r="M102" s="127"/>
      <c r="N102" s="127"/>
      <c r="O102" s="127"/>
      <c r="P102" s="127"/>
      <c r="Q102" s="127"/>
      <c r="R102" s="258"/>
      <c r="S102" s="258"/>
      <c r="T102" s="258"/>
      <c r="U102" s="258"/>
      <c r="V102" s="258"/>
      <c r="W102" s="258"/>
      <c r="X102" s="258"/>
      <c r="Y102" s="258"/>
      <c r="Z102" s="258"/>
      <c r="AA102" s="258"/>
      <c r="AB102" s="258"/>
      <c r="AC102" s="258"/>
      <c r="AD102" s="258"/>
    </row>
    <row r="103" spans="2:30" ht="20.100000000000001" customHeight="1">
      <c r="B103" s="108">
        <v>100</v>
      </c>
      <c r="C103" s="256" t="s">
        <v>466</v>
      </c>
      <c r="D103" s="204" t="s">
        <v>578</v>
      </c>
      <c r="E103" s="204" t="s">
        <v>120</v>
      </c>
      <c r="F103" s="204" t="s">
        <v>588</v>
      </c>
      <c r="G103" s="205">
        <v>14</v>
      </c>
      <c r="H103" s="205">
        <v>13</v>
      </c>
      <c r="I103" s="206">
        <f t="shared" si="5"/>
        <v>0.9285714285714286</v>
      </c>
      <c r="J103" s="207" t="str">
        <f t="shared" si="4"/>
        <v>수료</v>
      </c>
      <c r="K103" s="197"/>
      <c r="L103" s="127"/>
      <c r="M103" s="127"/>
      <c r="N103" s="127"/>
      <c r="O103" s="127"/>
      <c r="P103" s="127"/>
      <c r="Q103" s="127"/>
      <c r="R103" s="258"/>
      <c r="S103" s="258"/>
      <c r="T103" s="258"/>
      <c r="U103" s="258"/>
      <c r="V103" s="258"/>
      <c r="W103" s="258"/>
      <c r="X103" s="258"/>
      <c r="Y103" s="258"/>
      <c r="Z103" s="258"/>
      <c r="AA103" s="258"/>
      <c r="AB103" s="258"/>
      <c r="AC103" s="258"/>
      <c r="AD103" s="258"/>
    </row>
    <row r="104" spans="2:30" ht="20.100000000000001" customHeight="1">
      <c r="B104" s="108">
        <v>101</v>
      </c>
      <c r="C104" s="256"/>
      <c r="D104" s="204" t="s">
        <v>579</v>
      </c>
      <c r="E104" s="204" t="s">
        <v>120</v>
      </c>
      <c r="F104" s="204" t="s">
        <v>589</v>
      </c>
      <c r="G104" s="205">
        <v>14</v>
      </c>
      <c r="H104" s="205">
        <v>10</v>
      </c>
      <c r="I104" s="206">
        <f t="shared" si="5"/>
        <v>0.7142857142857143</v>
      </c>
      <c r="J104" s="207" t="str">
        <f t="shared" si="4"/>
        <v>수료</v>
      </c>
      <c r="K104" s="197"/>
      <c r="L104" s="127"/>
      <c r="M104" s="127"/>
      <c r="N104" s="127"/>
      <c r="O104" s="127"/>
      <c r="P104" s="127"/>
      <c r="Q104" s="127"/>
      <c r="R104" s="258"/>
      <c r="S104" s="258"/>
      <c r="T104" s="258"/>
      <c r="U104" s="258"/>
      <c r="V104" s="258"/>
      <c r="W104" s="258"/>
      <c r="X104" s="258"/>
      <c r="Y104" s="258"/>
      <c r="Z104" s="258"/>
      <c r="AA104" s="258"/>
      <c r="AB104" s="258"/>
      <c r="AC104" s="258"/>
      <c r="AD104" s="258"/>
    </row>
    <row r="105" spans="2:30" ht="20.100000000000001" customHeight="1">
      <c r="B105" s="108">
        <v>102</v>
      </c>
      <c r="C105" s="256"/>
      <c r="D105" s="204" t="s">
        <v>216</v>
      </c>
      <c r="E105" s="204" t="s">
        <v>120</v>
      </c>
      <c r="F105" s="204" t="s">
        <v>121</v>
      </c>
      <c r="G105" s="205">
        <v>14</v>
      </c>
      <c r="H105" s="205">
        <v>13</v>
      </c>
      <c r="I105" s="206">
        <f t="shared" si="5"/>
        <v>0.9285714285714286</v>
      </c>
      <c r="J105" s="207" t="str">
        <f t="shared" si="4"/>
        <v>수료</v>
      </c>
      <c r="K105" s="197"/>
      <c r="L105" s="127"/>
      <c r="M105" s="127"/>
      <c r="N105" s="127"/>
      <c r="O105" s="127"/>
      <c r="P105" s="127"/>
      <c r="Q105" s="127"/>
      <c r="R105" s="258"/>
      <c r="S105" s="258"/>
      <c r="T105" s="258"/>
      <c r="U105" s="258"/>
      <c r="V105" s="258"/>
      <c r="W105" s="258"/>
      <c r="X105" s="258"/>
      <c r="Y105" s="258"/>
      <c r="Z105" s="258"/>
      <c r="AA105" s="258"/>
      <c r="AB105" s="258"/>
      <c r="AC105" s="258"/>
      <c r="AD105" s="258"/>
    </row>
    <row r="106" spans="2:30" ht="20.100000000000001" customHeight="1">
      <c r="B106" s="108">
        <v>103</v>
      </c>
      <c r="C106" s="256"/>
      <c r="D106" s="204" t="s">
        <v>543</v>
      </c>
      <c r="E106" s="204" t="s">
        <v>122</v>
      </c>
      <c r="F106" s="204" t="s">
        <v>546</v>
      </c>
      <c r="G106" s="205">
        <v>14</v>
      </c>
      <c r="H106" s="205">
        <v>13</v>
      </c>
      <c r="I106" s="206">
        <f t="shared" si="5"/>
        <v>0.9285714285714286</v>
      </c>
      <c r="J106" s="207" t="str">
        <f t="shared" si="4"/>
        <v>수료</v>
      </c>
      <c r="K106" s="197"/>
      <c r="L106" s="127"/>
      <c r="M106" s="127"/>
      <c r="N106" s="127"/>
      <c r="O106" s="127"/>
      <c r="P106" s="127"/>
      <c r="Q106" s="127"/>
      <c r="R106" s="258"/>
      <c r="S106" s="258"/>
      <c r="T106" s="258"/>
      <c r="U106" s="258"/>
      <c r="V106" s="258"/>
      <c r="W106" s="258"/>
      <c r="X106" s="258"/>
      <c r="Y106" s="258"/>
      <c r="Z106" s="258"/>
      <c r="AA106" s="258"/>
      <c r="AB106" s="258"/>
      <c r="AC106" s="258"/>
      <c r="AD106" s="258"/>
    </row>
    <row r="107" spans="2:30" ht="20.100000000000001" customHeight="1">
      <c r="B107" s="108">
        <v>104</v>
      </c>
      <c r="C107" s="256"/>
      <c r="D107" s="204" t="s">
        <v>580</v>
      </c>
      <c r="E107" s="204" t="s">
        <v>120</v>
      </c>
      <c r="F107" s="204" t="s">
        <v>590</v>
      </c>
      <c r="G107" s="205">
        <v>14</v>
      </c>
      <c r="H107" s="205">
        <v>9</v>
      </c>
      <c r="I107" s="206">
        <f t="shared" si="5"/>
        <v>0.6428571428571429</v>
      </c>
      <c r="J107" s="207" t="str">
        <f t="shared" si="4"/>
        <v>미수료</v>
      </c>
      <c r="K107" s="197"/>
      <c r="L107" s="127"/>
      <c r="M107" s="127"/>
      <c r="N107" s="127"/>
      <c r="O107" s="127"/>
      <c r="P107" s="127"/>
      <c r="Q107" s="127"/>
      <c r="R107" s="258"/>
      <c r="S107" s="258"/>
      <c r="T107" s="258"/>
      <c r="U107" s="258"/>
      <c r="V107" s="258"/>
      <c r="W107" s="258"/>
      <c r="X107" s="258"/>
      <c r="Y107" s="258"/>
      <c r="Z107" s="258"/>
      <c r="AA107" s="258"/>
      <c r="AB107" s="258"/>
      <c r="AC107" s="258"/>
      <c r="AD107" s="258"/>
    </row>
    <row r="108" spans="2:30" ht="20.100000000000001" customHeight="1">
      <c r="B108" s="108">
        <v>105</v>
      </c>
      <c r="C108" s="256"/>
      <c r="D108" s="204" t="s">
        <v>581</v>
      </c>
      <c r="E108" s="204" t="s">
        <v>120</v>
      </c>
      <c r="F108" s="204" t="s">
        <v>591</v>
      </c>
      <c r="G108" s="205">
        <v>14</v>
      </c>
      <c r="H108" s="205">
        <v>13</v>
      </c>
      <c r="I108" s="206">
        <f t="shared" si="3"/>
        <v>0.9285714285714286</v>
      </c>
      <c r="J108" s="207" t="str">
        <f t="shared" si="4"/>
        <v>수료</v>
      </c>
      <c r="K108" s="197"/>
      <c r="L108" s="88"/>
      <c r="M108" s="88"/>
      <c r="N108" s="88"/>
      <c r="O108" s="88"/>
      <c r="P108" s="88"/>
      <c r="Q108" s="88"/>
      <c r="R108" s="258"/>
      <c r="S108" s="258"/>
      <c r="T108" s="258"/>
      <c r="U108" s="258"/>
      <c r="V108" s="258"/>
      <c r="W108" s="258"/>
      <c r="X108" s="258"/>
      <c r="Y108" s="258"/>
      <c r="Z108" s="258"/>
      <c r="AA108" s="258"/>
      <c r="AB108" s="258"/>
      <c r="AC108" s="258"/>
      <c r="AD108" s="258"/>
    </row>
    <row r="109" spans="2:30" ht="20.100000000000001" customHeight="1">
      <c r="B109" s="108">
        <v>106</v>
      </c>
      <c r="C109" s="256"/>
      <c r="D109" s="204" t="s">
        <v>582</v>
      </c>
      <c r="E109" s="204" t="s">
        <v>122</v>
      </c>
      <c r="F109" s="204" t="s">
        <v>592</v>
      </c>
      <c r="G109" s="205">
        <v>14</v>
      </c>
      <c r="H109" s="205">
        <v>0</v>
      </c>
      <c r="I109" s="206">
        <f t="shared" si="3"/>
        <v>0</v>
      </c>
      <c r="J109" s="207" t="str">
        <f t="shared" si="4"/>
        <v>미수료</v>
      </c>
      <c r="K109" s="197"/>
      <c r="L109" s="88"/>
      <c r="M109" s="88"/>
      <c r="N109" s="88"/>
      <c r="O109" s="88"/>
      <c r="P109" s="88"/>
      <c r="Q109" s="88"/>
      <c r="R109" s="258"/>
      <c r="S109" s="258"/>
      <c r="T109" s="258"/>
      <c r="U109" s="258"/>
      <c r="V109" s="258"/>
      <c r="W109" s="258"/>
      <c r="X109" s="258"/>
      <c r="Y109" s="258"/>
      <c r="Z109" s="258"/>
      <c r="AA109" s="258"/>
      <c r="AB109" s="258"/>
      <c r="AC109" s="258"/>
      <c r="AD109" s="258"/>
    </row>
    <row r="110" spans="2:30" ht="20.100000000000001" customHeight="1">
      <c r="B110" s="108">
        <v>107</v>
      </c>
      <c r="C110" s="256"/>
      <c r="D110" s="204" t="s">
        <v>583</v>
      </c>
      <c r="E110" s="204" t="s">
        <v>122</v>
      </c>
      <c r="F110" s="204" t="s">
        <v>593</v>
      </c>
      <c r="G110" s="205">
        <v>14</v>
      </c>
      <c r="H110" s="205">
        <v>12</v>
      </c>
      <c r="I110" s="206">
        <f t="shared" si="3"/>
        <v>0.8571428571428571</v>
      </c>
      <c r="J110" s="207" t="str">
        <f t="shared" si="4"/>
        <v>수료</v>
      </c>
      <c r="K110" s="197"/>
      <c r="L110" s="88"/>
      <c r="M110" s="88"/>
      <c r="N110" s="88"/>
      <c r="O110" s="88"/>
      <c r="P110" s="88"/>
      <c r="Q110" s="88"/>
      <c r="R110" s="258"/>
      <c r="S110" s="258"/>
      <c r="T110" s="258"/>
      <c r="U110" s="258"/>
      <c r="V110" s="258"/>
      <c r="W110" s="258"/>
      <c r="X110" s="258"/>
      <c r="Y110" s="258"/>
      <c r="Z110" s="258"/>
      <c r="AA110" s="258"/>
      <c r="AB110" s="258"/>
      <c r="AC110" s="258"/>
      <c r="AD110" s="258"/>
    </row>
    <row r="111" spans="2:30" ht="20.100000000000001" customHeight="1">
      <c r="B111" s="108">
        <v>108</v>
      </c>
      <c r="C111" s="256"/>
      <c r="D111" s="204" t="s">
        <v>584</v>
      </c>
      <c r="E111" s="204" t="s">
        <v>120</v>
      </c>
      <c r="F111" s="204" t="s">
        <v>594</v>
      </c>
      <c r="G111" s="205">
        <v>14</v>
      </c>
      <c r="H111" s="205">
        <v>13</v>
      </c>
      <c r="I111" s="206">
        <f t="shared" si="3"/>
        <v>0.9285714285714286</v>
      </c>
      <c r="J111" s="207" t="str">
        <f t="shared" si="4"/>
        <v>수료</v>
      </c>
      <c r="K111" s="197"/>
      <c r="L111" s="88"/>
      <c r="M111" s="88"/>
      <c r="N111" s="88"/>
      <c r="O111" s="88"/>
      <c r="P111" s="88"/>
      <c r="Q111" s="88"/>
      <c r="R111" s="258"/>
      <c r="S111" s="258"/>
      <c r="T111" s="258"/>
      <c r="U111" s="258"/>
      <c r="V111" s="258"/>
      <c r="W111" s="258"/>
      <c r="X111" s="258"/>
      <c r="Y111" s="258"/>
      <c r="Z111" s="258"/>
      <c r="AA111" s="258"/>
      <c r="AB111" s="258"/>
      <c r="AC111" s="258"/>
      <c r="AD111" s="258"/>
    </row>
    <row r="112" spans="2:30" ht="20.100000000000001" customHeight="1">
      <c r="B112" s="108">
        <v>109</v>
      </c>
      <c r="C112" s="256"/>
      <c r="D112" s="204" t="s">
        <v>585</v>
      </c>
      <c r="E112" s="204" t="s">
        <v>120</v>
      </c>
      <c r="F112" s="204" t="s">
        <v>595</v>
      </c>
      <c r="G112" s="205">
        <v>14</v>
      </c>
      <c r="H112" s="205">
        <v>12</v>
      </c>
      <c r="I112" s="206">
        <f t="shared" si="3"/>
        <v>0.8571428571428571</v>
      </c>
      <c r="J112" s="207" t="str">
        <f t="shared" si="4"/>
        <v>수료</v>
      </c>
      <c r="K112" s="197"/>
      <c r="L112" s="88"/>
      <c r="M112" s="88"/>
      <c r="N112" s="88"/>
      <c r="O112" s="88"/>
      <c r="P112" s="88"/>
      <c r="Q112" s="88"/>
      <c r="R112" s="258"/>
      <c r="S112" s="258"/>
      <c r="T112" s="258"/>
      <c r="U112" s="258"/>
      <c r="V112" s="258"/>
      <c r="W112" s="258"/>
      <c r="X112" s="258"/>
      <c r="Y112" s="258"/>
      <c r="Z112" s="258"/>
      <c r="AA112" s="258"/>
      <c r="AB112" s="258"/>
      <c r="AC112" s="258"/>
      <c r="AD112" s="258"/>
    </row>
    <row r="113" spans="2:30" ht="20.100000000000001" customHeight="1">
      <c r="B113" s="108">
        <v>110</v>
      </c>
      <c r="C113" s="256"/>
      <c r="D113" s="204" t="s">
        <v>586</v>
      </c>
      <c r="E113" s="204" t="s">
        <v>120</v>
      </c>
      <c r="F113" s="204" t="s">
        <v>596</v>
      </c>
      <c r="G113" s="205">
        <v>14</v>
      </c>
      <c r="H113" s="205">
        <v>12</v>
      </c>
      <c r="I113" s="206">
        <f t="shared" si="3"/>
        <v>0.8571428571428571</v>
      </c>
      <c r="J113" s="207" t="str">
        <f t="shared" si="4"/>
        <v>수료</v>
      </c>
      <c r="K113" s="197"/>
      <c r="L113" s="88"/>
      <c r="M113" s="88"/>
      <c r="N113" s="88"/>
      <c r="O113" s="88"/>
      <c r="P113" s="88"/>
      <c r="Q113" s="88"/>
      <c r="R113" s="258"/>
      <c r="S113" s="258"/>
      <c r="T113" s="258"/>
      <c r="U113" s="258"/>
      <c r="V113" s="258"/>
      <c r="W113" s="258"/>
      <c r="X113" s="258"/>
      <c r="Y113" s="258"/>
      <c r="Z113" s="258"/>
      <c r="AA113" s="258"/>
      <c r="AB113" s="258"/>
      <c r="AC113" s="258"/>
      <c r="AD113" s="258"/>
    </row>
    <row r="114" spans="2:30" ht="20.100000000000001" customHeight="1">
      <c r="B114" s="108">
        <v>111</v>
      </c>
      <c r="C114" s="256"/>
      <c r="D114" s="204" t="s">
        <v>587</v>
      </c>
      <c r="E114" s="204" t="s">
        <v>122</v>
      </c>
      <c r="F114" s="204" t="s">
        <v>597</v>
      </c>
      <c r="G114" s="205">
        <v>14</v>
      </c>
      <c r="H114" s="205">
        <v>13</v>
      </c>
      <c r="I114" s="206">
        <f t="shared" si="3"/>
        <v>0.9285714285714286</v>
      </c>
      <c r="J114" s="207" t="str">
        <f t="shared" si="4"/>
        <v>수료</v>
      </c>
      <c r="K114" s="197"/>
      <c r="L114" s="88"/>
      <c r="M114" s="88"/>
      <c r="N114" s="88"/>
      <c r="O114" s="88"/>
      <c r="P114" s="88"/>
      <c r="Q114" s="88"/>
      <c r="R114" s="258"/>
      <c r="S114" s="258"/>
      <c r="T114" s="258"/>
      <c r="U114" s="258"/>
      <c r="V114" s="258"/>
      <c r="W114" s="258"/>
      <c r="X114" s="258"/>
      <c r="Y114" s="258"/>
      <c r="Z114" s="258"/>
      <c r="AA114" s="258"/>
      <c r="AB114" s="258"/>
      <c r="AC114" s="258"/>
      <c r="AD114" s="258"/>
    </row>
    <row r="115" spans="2:30" ht="20.100000000000001" customHeight="1">
      <c r="B115" s="108">
        <v>112</v>
      </c>
      <c r="C115" s="256" t="s">
        <v>467</v>
      </c>
      <c r="D115" s="204" t="s">
        <v>598</v>
      </c>
      <c r="E115" s="204" t="s">
        <v>120</v>
      </c>
      <c r="F115" s="204" t="s">
        <v>608</v>
      </c>
      <c r="G115" s="205">
        <v>14</v>
      </c>
      <c r="H115" s="205">
        <v>12</v>
      </c>
      <c r="I115" s="206">
        <f t="shared" si="3"/>
        <v>0.8571428571428571</v>
      </c>
      <c r="J115" s="207" t="str">
        <f t="shared" si="4"/>
        <v>수료</v>
      </c>
      <c r="K115" s="197"/>
      <c r="L115" s="88"/>
      <c r="M115" s="88"/>
      <c r="N115" s="88"/>
      <c r="O115" s="88"/>
      <c r="P115" s="88"/>
      <c r="Q115" s="88"/>
      <c r="R115" s="258"/>
      <c r="S115" s="258"/>
      <c r="T115" s="258"/>
      <c r="U115" s="258"/>
      <c r="V115" s="258"/>
      <c r="W115" s="258"/>
      <c r="X115" s="258"/>
      <c r="Y115" s="258"/>
      <c r="Z115" s="258"/>
      <c r="AA115" s="258"/>
      <c r="AB115" s="258"/>
      <c r="AC115" s="258"/>
      <c r="AD115" s="258"/>
    </row>
    <row r="116" spans="2:30" ht="20.100000000000001" customHeight="1">
      <c r="B116" s="108">
        <v>113</v>
      </c>
      <c r="C116" s="256"/>
      <c r="D116" s="204" t="s">
        <v>599</v>
      </c>
      <c r="E116" s="204" t="s">
        <v>120</v>
      </c>
      <c r="F116" s="204" t="s">
        <v>609</v>
      </c>
      <c r="G116" s="205">
        <v>14</v>
      </c>
      <c r="H116" s="205">
        <v>12</v>
      </c>
      <c r="I116" s="206">
        <f t="shared" si="3"/>
        <v>0.8571428571428571</v>
      </c>
      <c r="J116" s="207" t="str">
        <f t="shared" si="4"/>
        <v>수료</v>
      </c>
      <c r="K116" s="197"/>
      <c r="L116" s="88"/>
      <c r="M116" s="88"/>
      <c r="N116" s="88"/>
      <c r="O116" s="88"/>
      <c r="P116" s="88"/>
      <c r="Q116" s="88"/>
      <c r="R116" s="258"/>
      <c r="S116" s="258"/>
      <c r="T116" s="258"/>
      <c r="U116" s="258"/>
      <c r="V116" s="258"/>
      <c r="W116" s="258"/>
      <c r="X116" s="258"/>
      <c r="Y116" s="258"/>
      <c r="Z116" s="258"/>
      <c r="AA116" s="258"/>
      <c r="AB116" s="258"/>
      <c r="AC116" s="258"/>
      <c r="AD116" s="258"/>
    </row>
    <row r="117" spans="2:30" ht="20.100000000000001" customHeight="1">
      <c r="B117" s="108">
        <v>114</v>
      </c>
      <c r="C117" s="256"/>
      <c r="D117" s="204" t="s">
        <v>600</v>
      </c>
      <c r="E117" s="204" t="s">
        <v>120</v>
      </c>
      <c r="F117" s="204" t="s">
        <v>610</v>
      </c>
      <c r="G117" s="205">
        <v>14</v>
      </c>
      <c r="H117" s="205">
        <v>13</v>
      </c>
      <c r="I117" s="206">
        <f t="shared" si="3"/>
        <v>0.9285714285714286</v>
      </c>
      <c r="J117" s="207" t="str">
        <f t="shared" si="4"/>
        <v>수료</v>
      </c>
      <c r="K117" s="197"/>
      <c r="L117" s="88"/>
      <c r="M117" s="88"/>
      <c r="N117" s="88"/>
      <c r="O117" s="88"/>
      <c r="P117" s="88"/>
      <c r="Q117" s="88"/>
      <c r="R117" s="258"/>
      <c r="S117" s="258"/>
      <c r="T117" s="258"/>
      <c r="U117" s="258"/>
      <c r="V117" s="258"/>
      <c r="W117" s="258"/>
      <c r="X117" s="258"/>
      <c r="Y117" s="258"/>
      <c r="Z117" s="258"/>
      <c r="AA117" s="258"/>
      <c r="AB117" s="258"/>
      <c r="AC117" s="258"/>
      <c r="AD117" s="258"/>
    </row>
    <row r="118" spans="2:30" ht="20.100000000000001" customHeight="1">
      <c r="B118" s="108">
        <v>115</v>
      </c>
      <c r="C118" s="256"/>
      <c r="D118" s="204" t="s">
        <v>275</v>
      </c>
      <c r="E118" s="204" t="s">
        <v>120</v>
      </c>
      <c r="F118" s="204" t="s">
        <v>285</v>
      </c>
      <c r="G118" s="205">
        <v>14</v>
      </c>
      <c r="H118" s="205">
        <v>13</v>
      </c>
      <c r="I118" s="206">
        <f t="shared" si="3"/>
        <v>0.9285714285714286</v>
      </c>
      <c r="J118" s="207" t="str">
        <f t="shared" si="4"/>
        <v>수료</v>
      </c>
      <c r="R118" s="260"/>
      <c r="S118" s="260"/>
      <c r="T118" s="260"/>
      <c r="U118" s="260"/>
      <c r="V118" s="260"/>
      <c r="W118" s="260"/>
      <c r="X118" s="260"/>
      <c r="Y118" s="260"/>
      <c r="Z118" s="260"/>
      <c r="AA118" s="260"/>
      <c r="AB118" s="260"/>
      <c r="AC118" s="260"/>
      <c r="AD118" s="260"/>
    </row>
    <row r="119" spans="2:30" ht="20.100000000000001" customHeight="1">
      <c r="B119" s="108">
        <v>116</v>
      </c>
      <c r="C119" s="256"/>
      <c r="D119" s="204" t="s">
        <v>601</v>
      </c>
      <c r="E119" s="204" t="s">
        <v>122</v>
      </c>
      <c r="F119" s="204" t="s">
        <v>611</v>
      </c>
      <c r="G119" s="205">
        <v>14</v>
      </c>
      <c r="H119" s="205">
        <v>0</v>
      </c>
      <c r="I119" s="206">
        <f t="shared" si="3"/>
        <v>0</v>
      </c>
      <c r="J119" s="207" t="str">
        <f t="shared" si="4"/>
        <v>미수료</v>
      </c>
      <c r="L119" s="88"/>
      <c r="M119" s="88"/>
      <c r="N119" s="88"/>
      <c r="O119" s="88"/>
      <c r="R119" s="260"/>
      <c r="S119" s="260"/>
      <c r="T119" s="260"/>
      <c r="U119" s="260"/>
      <c r="V119" s="260"/>
      <c r="W119" s="260"/>
      <c r="X119" s="260"/>
      <c r="Y119" s="260"/>
      <c r="Z119" s="260"/>
      <c r="AA119" s="260"/>
      <c r="AB119" s="260"/>
      <c r="AC119" s="260"/>
      <c r="AD119" s="260"/>
    </row>
    <row r="120" spans="2:30" ht="20.100000000000001" customHeight="1">
      <c r="B120" s="108">
        <v>117</v>
      </c>
      <c r="C120" s="256"/>
      <c r="D120" s="204" t="s">
        <v>321</v>
      </c>
      <c r="E120" s="204" t="s">
        <v>120</v>
      </c>
      <c r="F120" s="204" t="s">
        <v>323</v>
      </c>
      <c r="G120" s="205">
        <v>14</v>
      </c>
      <c r="H120" s="205">
        <v>11</v>
      </c>
      <c r="I120" s="206">
        <f t="shared" si="3"/>
        <v>0.7857142857142857</v>
      </c>
      <c r="J120" s="207" t="str">
        <f t="shared" si="4"/>
        <v>수료</v>
      </c>
      <c r="R120" s="260"/>
      <c r="S120" s="260"/>
      <c r="T120" s="260"/>
      <c r="U120" s="260"/>
      <c r="V120" s="260"/>
      <c r="W120" s="260"/>
      <c r="X120" s="260"/>
      <c r="Y120" s="260"/>
      <c r="Z120" s="260"/>
      <c r="AA120" s="260"/>
      <c r="AB120" s="260"/>
      <c r="AC120" s="260"/>
      <c r="AD120" s="260"/>
    </row>
    <row r="121" spans="2:30" ht="20.100000000000001" customHeight="1">
      <c r="B121" s="108">
        <v>118</v>
      </c>
      <c r="C121" s="256"/>
      <c r="D121" s="204" t="s">
        <v>602</v>
      </c>
      <c r="E121" s="204" t="s">
        <v>120</v>
      </c>
      <c r="F121" s="204" t="s">
        <v>612</v>
      </c>
      <c r="G121" s="205">
        <v>14</v>
      </c>
      <c r="H121" s="205">
        <v>12</v>
      </c>
      <c r="I121" s="206">
        <f t="shared" si="3"/>
        <v>0.8571428571428571</v>
      </c>
      <c r="J121" s="207" t="str">
        <f t="shared" si="4"/>
        <v>수료</v>
      </c>
      <c r="L121" s="88"/>
      <c r="M121" s="88"/>
      <c r="O121" s="88"/>
      <c r="P121" s="88"/>
      <c r="R121" s="260"/>
      <c r="S121" s="260"/>
      <c r="T121" s="260"/>
      <c r="U121" s="260"/>
      <c r="V121" s="260"/>
      <c r="W121" s="260"/>
      <c r="X121" s="260"/>
      <c r="Y121" s="260"/>
      <c r="Z121" s="260"/>
      <c r="AA121" s="260"/>
      <c r="AB121" s="260"/>
      <c r="AC121" s="260"/>
      <c r="AD121" s="260"/>
    </row>
    <row r="122" spans="2:30" ht="20.100000000000001" customHeight="1">
      <c r="B122" s="108">
        <v>119</v>
      </c>
      <c r="C122" s="256"/>
      <c r="D122" s="204" t="s">
        <v>603</v>
      </c>
      <c r="E122" s="204" t="s">
        <v>120</v>
      </c>
      <c r="F122" s="204" t="s">
        <v>613</v>
      </c>
      <c r="G122" s="205">
        <v>14</v>
      </c>
      <c r="H122" s="205">
        <v>10</v>
      </c>
      <c r="I122" s="206">
        <f t="shared" si="3"/>
        <v>0.7142857142857143</v>
      </c>
      <c r="J122" s="207" t="str">
        <f t="shared" si="4"/>
        <v>수료</v>
      </c>
      <c r="K122" s="197"/>
      <c r="L122" s="88"/>
      <c r="M122" s="88"/>
      <c r="N122" s="88"/>
      <c r="O122" s="88"/>
      <c r="P122" s="88"/>
      <c r="Q122" s="88"/>
      <c r="R122" s="88"/>
      <c r="S122" s="88"/>
      <c r="T122" s="88"/>
      <c r="U122" s="88"/>
      <c r="V122" s="88"/>
      <c r="W122" s="88"/>
      <c r="X122" s="88"/>
      <c r="Y122" s="88"/>
      <c r="Z122" s="88"/>
      <c r="AA122" s="88"/>
      <c r="AC122" s="88"/>
      <c r="AD122" s="88"/>
    </row>
    <row r="123" spans="2:30" ht="20.100000000000001" customHeight="1">
      <c r="B123" s="108">
        <v>120</v>
      </c>
      <c r="C123" s="256"/>
      <c r="D123" s="204" t="s">
        <v>604</v>
      </c>
      <c r="E123" s="204" t="s">
        <v>120</v>
      </c>
      <c r="F123" s="204" t="s">
        <v>614</v>
      </c>
      <c r="G123" s="205">
        <v>14</v>
      </c>
      <c r="H123" s="205">
        <v>13</v>
      </c>
      <c r="I123" s="206">
        <f t="shared" si="3"/>
        <v>0.9285714285714286</v>
      </c>
      <c r="J123" s="207" t="str">
        <f t="shared" si="4"/>
        <v>수료</v>
      </c>
      <c r="K123" s="197"/>
      <c r="L123" s="88"/>
      <c r="M123" s="88"/>
      <c r="N123" s="88"/>
      <c r="O123" s="88"/>
      <c r="P123" s="88"/>
      <c r="Q123" s="88"/>
      <c r="R123" s="88"/>
      <c r="S123" s="88"/>
      <c r="T123" s="88"/>
      <c r="U123" s="88"/>
      <c r="V123" s="88"/>
      <c r="W123" s="88"/>
      <c r="X123" s="88"/>
      <c r="Y123" s="88"/>
      <c r="Z123" s="88"/>
      <c r="AB123" s="88"/>
    </row>
    <row r="124" spans="2:30" ht="20.100000000000001" customHeight="1">
      <c r="B124" s="108">
        <v>121</v>
      </c>
      <c r="C124" s="256"/>
      <c r="D124" s="204" t="s">
        <v>605</v>
      </c>
      <c r="E124" s="204" t="s">
        <v>120</v>
      </c>
      <c r="F124" s="204" t="s">
        <v>615</v>
      </c>
      <c r="G124" s="205">
        <v>14</v>
      </c>
      <c r="H124" s="205">
        <v>13</v>
      </c>
      <c r="I124" s="206">
        <f t="shared" si="3"/>
        <v>0.9285714285714286</v>
      </c>
      <c r="J124" s="207" t="str">
        <f t="shared" si="4"/>
        <v>수료</v>
      </c>
      <c r="K124" s="197"/>
      <c r="L124" s="88"/>
      <c r="M124" s="88"/>
      <c r="N124" s="88"/>
      <c r="O124" s="88"/>
      <c r="P124" s="88"/>
      <c r="Q124" s="88"/>
      <c r="R124" s="88"/>
      <c r="S124" s="88"/>
      <c r="T124" s="88"/>
      <c r="U124" s="88"/>
      <c r="V124" s="88"/>
      <c r="W124" s="88"/>
      <c r="X124" s="88"/>
      <c r="Y124" s="88"/>
      <c r="Z124" s="88"/>
    </row>
    <row r="125" spans="2:30" ht="20.100000000000001" customHeight="1">
      <c r="B125" s="108">
        <v>122</v>
      </c>
      <c r="C125" s="256"/>
      <c r="D125" s="204" t="s">
        <v>606</v>
      </c>
      <c r="E125" s="204" t="s">
        <v>120</v>
      </c>
      <c r="F125" s="204" t="s">
        <v>616</v>
      </c>
      <c r="G125" s="205">
        <v>14</v>
      </c>
      <c r="H125" s="205">
        <v>7</v>
      </c>
      <c r="I125" s="206">
        <f t="shared" si="3"/>
        <v>0.5</v>
      </c>
      <c r="J125" s="207" t="str">
        <f t="shared" si="4"/>
        <v>미수료</v>
      </c>
      <c r="K125" s="197"/>
      <c r="L125" s="88"/>
      <c r="M125" s="88"/>
      <c r="N125" s="88"/>
      <c r="O125" s="88"/>
      <c r="P125" s="88"/>
      <c r="Q125" s="88"/>
      <c r="R125" s="88"/>
      <c r="S125" s="88"/>
      <c r="T125" s="88"/>
      <c r="U125" s="88"/>
      <c r="V125" s="88"/>
      <c r="W125" s="88"/>
      <c r="X125" s="88"/>
      <c r="Y125" s="88"/>
      <c r="Z125" s="88"/>
      <c r="AA125" s="88"/>
    </row>
    <row r="126" spans="2:30" ht="20.100000000000001" customHeight="1">
      <c r="B126" s="108">
        <v>123</v>
      </c>
      <c r="C126" s="256"/>
      <c r="D126" s="204" t="s">
        <v>187</v>
      </c>
      <c r="E126" s="204" t="s">
        <v>120</v>
      </c>
      <c r="F126" s="204" t="s">
        <v>123</v>
      </c>
      <c r="G126" s="205">
        <v>14</v>
      </c>
      <c r="H126" s="205">
        <v>13</v>
      </c>
      <c r="I126" s="206">
        <f t="shared" si="3"/>
        <v>0.9285714285714286</v>
      </c>
      <c r="J126" s="207" t="str">
        <f t="shared" si="4"/>
        <v>수료</v>
      </c>
      <c r="K126" s="197"/>
      <c r="L126" s="88"/>
      <c r="M126" s="88"/>
      <c r="N126" s="88"/>
      <c r="O126" s="88"/>
      <c r="P126" s="88"/>
      <c r="Q126" s="88"/>
      <c r="R126" s="88"/>
      <c r="S126" s="88"/>
      <c r="T126" s="88"/>
      <c r="U126" s="88"/>
      <c r="V126" s="88"/>
      <c r="W126" s="88"/>
      <c r="X126" s="88"/>
      <c r="Y126" s="88"/>
      <c r="Z126" s="88"/>
    </row>
    <row r="127" spans="2:30" ht="20.100000000000001" customHeight="1">
      <c r="B127" s="108">
        <v>124</v>
      </c>
      <c r="C127" s="256"/>
      <c r="D127" s="204" t="s">
        <v>585</v>
      </c>
      <c r="E127" s="204" t="s">
        <v>120</v>
      </c>
      <c r="F127" s="204" t="s">
        <v>595</v>
      </c>
      <c r="G127" s="205">
        <v>14</v>
      </c>
      <c r="H127" s="205">
        <v>0</v>
      </c>
      <c r="I127" s="206">
        <f t="shared" ref="I127:I187" si="6">H127/G127</f>
        <v>0</v>
      </c>
      <c r="J127" s="207" t="str">
        <f t="shared" si="4"/>
        <v>미수료</v>
      </c>
      <c r="K127" s="197"/>
      <c r="L127" s="88"/>
      <c r="M127" s="88"/>
      <c r="N127" s="88"/>
      <c r="O127" s="88"/>
      <c r="P127" s="88"/>
      <c r="Q127" s="88"/>
      <c r="R127" s="88"/>
      <c r="S127" s="88"/>
      <c r="T127" s="88"/>
      <c r="U127" s="88"/>
      <c r="V127" s="88"/>
      <c r="W127" s="88"/>
      <c r="X127" s="88"/>
      <c r="Y127" s="88"/>
      <c r="Z127" s="88"/>
    </row>
    <row r="128" spans="2:30" ht="20.100000000000001" customHeight="1">
      <c r="B128" s="108">
        <v>125</v>
      </c>
      <c r="C128" s="256"/>
      <c r="D128" s="204" t="s">
        <v>607</v>
      </c>
      <c r="E128" s="204" t="s">
        <v>120</v>
      </c>
      <c r="F128" s="204" t="s">
        <v>617</v>
      </c>
      <c r="G128" s="205">
        <v>14</v>
      </c>
      <c r="H128" s="205">
        <v>11</v>
      </c>
      <c r="I128" s="206">
        <f t="shared" si="6"/>
        <v>0.7857142857142857</v>
      </c>
      <c r="J128" s="207" t="str">
        <f t="shared" si="4"/>
        <v>수료</v>
      </c>
      <c r="K128" s="197"/>
      <c r="L128" s="88"/>
      <c r="M128" s="88"/>
      <c r="N128" s="88"/>
      <c r="O128" s="88"/>
      <c r="P128" s="88"/>
      <c r="Q128" s="88"/>
      <c r="R128" s="88"/>
      <c r="S128" s="88"/>
      <c r="T128" s="88"/>
      <c r="U128" s="88"/>
      <c r="V128" s="88"/>
      <c r="W128" s="88"/>
      <c r="X128" s="88"/>
      <c r="Y128" s="88"/>
      <c r="Z128" s="88"/>
    </row>
    <row r="129" spans="2:30" ht="20.100000000000001" customHeight="1">
      <c r="B129" s="108">
        <v>126</v>
      </c>
      <c r="C129" s="256"/>
      <c r="D129" s="204" t="s">
        <v>318</v>
      </c>
      <c r="E129" s="204" t="s">
        <v>122</v>
      </c>
      <c r="F129" s="204" t="s">
        <v>618</v>
      </c>
      <c r="G129" s="205">
        <v>14</v>
      </c>
      <c r="H129" s="205">
        <v>0</v>
      </c>
      <c r="I129" s="206">
        <f t="shared" si="6"/>
        <v>0</v>
      </c>
      <c r="J129" s="207" t="str">
        <f t="shared" si="4"/>
        <v>미수료</v>
      </c>
      <c r="K129" s="197"/>
      <c r="L129" s="88"/>
      <c r="M129" s="88"/>
      <c r="N129" s="88"/>
      <c r="O129" s="88"/>
      <c r="P129" s="88"/>
      <c r="Q129" s="88"/>
      <c r="R129" s="88"/>
      <c r="S129" s="88"/>
      <c r="T129" s="88"/>
      <c r="U129" s="88"/>
      <c r="V129" s="88"/>
      <c r="W129" s="88"/>
      <c r="X129" s="88"/>
      <c r="Y129" s="88"/>
      <c r="Z129" s="88"/>
      <c r="AA129" s="88"/>
      <c r="AB129" s="88"/>
      <c r="AC129" s="88"/>
      <c r="AD129" s="88"/>
    </row>
    <row r="130" spans="2:30" ht="20.100000000000001" customHeight="1">
      <c r="B130" s="108">
        <v>127</v>
      </c>
      <c r="C130" s="256" t="s">
        <v>141</v>
      </c>
      <c r="D130" s="204" t="s">
        <v>619</v>
      </c>
      <c r="E130" s="204" t="s">
        <v>120</v>
      </c>
      <c r="F130" s="204" t="s">
        <v>628</v>
      </c>
      <c r="G130" s="205">
        <v>14</v>
      </c>
      <c r="H130" s="205">
        <v>8</v>
      </c>
      <c r="I130" s="206">
        <f t="shared" si="6"/>
        <v>0.5714285714285714</v>
      </c>
      <c r="J130" s="207" t="str">
        <f t="shared" si="4"/>
        <v>미수료</v>
      </c>
      <c r="K130" s="197"/>
      <c r="L130" s="88"/>
      <c r="M130" s="88"/>
      <c r="N130" s="88"/>
      <c r="O130" s="88"/>
      <c r="P130" s="88"/>
      <c r="Q130" s="88"/>
      <c r="R130" s="88"/>
      <c r="S130" s="88"/>
      <c r="T130" s="88"/>
      <c r="U130" s="88"/>
      <c r="V130" s="88"/>
      <c r="W130" s="88"/>
      <c r="X130" s="88"/>
      <c r="Y130" s="88"/>
      <c r="Z130" s="88"/>
    </row>
    <row r="131" spans="2:30" ht="20.100000000000001" customHeight="1">
      <c r="B131" s="108">
        <v>128</v>
      </c>
      <c r="C131" s="256"/>
      <c r="D131" s="204" t="s">
        <v>620</v>
      </c>
      <c r="E131" s="204" t="s">
        <v>120</v>
      </c>
      <c r="F131" s="204" t="s">
        <v>629</v>
      </c>
      <c r="G131" s="205">
        <v>14</v>
      </c>
      <c r="H131" s="205">
        <v>13</v>
      </c>
      <c r="I131" s="206">
        <f t="shared" si="6"/>
        <v>0.9285714285714286</v>
      </c>
      <c r="J131" s="207" t="str">
        <f t="shared" si="4"/>
        <v>수료</v>
      </c>
      <c r="K131" s="197"/>
      <c r="L131" s="88"/>
      <c r="M131" s="88"/>
      <c r="N131" s="88"/>
      <c r="O131" s="88"/>
      <c r="P131" s="88"/>
      <c r="Q131" s="88"/>
      <c r="R131" s="88"/>
      <c r="S131" s="88"/>
      <c r="T131" s="88"/>
      <c r="U131" s="88"/>
      <c r="V131" s="88"/>
      <c r="W131" s="88"/>
      <c r="X131" s="88"/>
      <c r="Y131" s="88"/>
      <c r="Z131" s="88"/>
    </row>
    <row r="132" spans="2:30" ht="20.100000000000001" customHeight="1">
      <c r="B132" s="108">
        <v>129</v>
      </c>
      <c r="C132" s="256"/>
      <c r="D132" s="204" t="s">
        <v>621</v>
      </c>
      <c r="E132" s="204" t="s">
        <v>120</v>
      </c>
      <c r="F132" s="204" t="s">
        <v>630</v>
      </c>
      <c r="G132" s="205">
        <v>14</v>
      </c>
      <c r="H132" s="205">
        <v>11</v>
      </c>
      <c r="I132" s="206">
        <f>H132/G132</f>
        <v>0.7857142857142857</v>
      </c>
      <c r="J132" s="207" t="str">
        <f t="shared" si="4"/>
        <v>수료</v>
      </c>
      <c r="K132" s="197"/>
      <c r="L132" s="127"/>
      <c r="M132" s="127"/>
      <c r="N132" s="127"/>
      <c r="O132" s="127"/>
      <c r="P132" s="127"/>
      <c r="Q132" s="127"/>
      <c r="R132" s="127"/>
      <c r="S132" s="127"/>
      <c r="T132" s="127"/>
      <c r="U132" s="127"/>
      <c r="V132" s="127"/>
      <c r="W132" s="127"/>
      <c r="X132" s="127"/>
      <c r="Y132" s="127"/>
      <c r="Z132" s="127"/>
      <c r="AA132" s="128"/>
      <c r="AB132" s="128"/>
      <c r="AC132" s="128"/>
      <c r="AD132" s="128"/>
    </row>
    <row r="133" spans="2:30" ht="20.100000000000001" customHeight="1">
      <c r="B133" s="108">
        <v>130</v>
      </c>
      <c r="C133" s="256"/>
      <c r="D133" s="204" t="s">
        <v>295</v>
      </c>
      <c r="E133" s="204" t="s">
        <v>120</v>
      </c>
      <c r="F133" s="204" t="s">
        <v>297</v>
      </c>
      <c r="G133" s="205">
        <v>14</v>
      </c>
      <c r="H133" s="205">
        <v>13</v>
      </c>
      <c r="I133" s="206">
        <f>H133/G133</f>
        <v>0.9285714285714286</v>
      </c>
      <c r="J133" s="207" t="str">
        <f t="shared" si="4"/>
        <v>수료</v>
      </c>
      <c r="K133" s="197"/>
      <c r="L133" s="127"/>
      <c r="M133" s="127"/>
      <c r="N133" s="127"/>
      <c r="O133" s="127"/>
      <c r="P133" s="127"/>
      <c r="Q133" s="127"/>
      <c r="R133" s="127"/>
      <c r="S133" s="127"/>
      <c r="T133" s="127"/>
      <c r="U133" s="127"/>
      <c r="V133" s="127"/>
      <c r="W133" s="127"/>
      <c r="X133" s="127"/>
      <c r="Y133" s="127"/>
      <c r="Z133" s="127"/>
      <c r="AA133" s="128"/>
      <c r="AB133" s="128"/>
      <c r="AC133" s="128"/>
      <c r="AD133" s="128"/>
    </row>
    <row r="134" spans="2:30" ht="20.100000000000001" customHeight="1">
      <c r="B134" s="108">
        <v>131</v>
      </c>
      <c r="C134" s="256"/>
      <c r="D134" s="204" t="s">
        <v>126</v>
      </c>
      <c r="E134" s="204" t="s">
        <v>120</v>
      </c>
      <c r="F134" s="204" t="s">
        <v>150</v>
      </c>
      <c r="G134" s="205">
        <v>14</v>
      </c>
      <c r="H134" s="205">
        <v>10</v>
      </c>
      <c r="I134" s="206">
        <f>H134/G134</f>
        <v>0.7142857142857143</v>
      </c>
      <c r="J134" s="207" t="str">
        <f t="shared" si="4"/>
        <v>수료</v>
      </c>
      <c r="K134" s="197"/>
      <c r="L134" s="127"/>
      <c r="M134" s="127"/>
      <c r="N134" s="127"/>
      <c r="O134" s="127"/>
      <c r="P134" s="127"/>
      <c r="Q134" s="127"/>
      <c r="R134" s="127"/>
      <c r="S134" s="127"/>
      <c r="T134" s="127"/>
      <c r="U134" s="127"/>
      <c r="V134" s="127"/>
      <c r="W134" s="127"/>
      <c r="X134" s="127"/>
      <c r="Y134" s="127"/>
      <c r="Z134" s="127"/>
      <c r="AA134" s="128"/>
      <c r="AB134" s="128"/>
      <c r="AC134" s="128"/>
      <c r="AD134" s="128"/>
    </row>
    <row r="135" spans="2:30" ht="20.100000000000001" customHeight="1">
      <c r="B135" s="108">
        <v>132</v>
      </c>
      <c r="C135" s="256"/>
      <c r="D135" s="204" t="s">
        <v>622</v>
      </c>
      <c r="E135" s="204" t="s">
        <v>120</v>
      </c>
      <c r="F135" s="204" t="s">
        <v>631</v>
      </c>
      <c r="G135" s="205">
        <v>14</v>
      </c>
      <c r="H135" s="205">
        <v>12</v>
      </c>
      <c r="I135" s="206">
        <f t="shared" si="6"/>
        <v>0.8571428571428571</v>
      </c>
      <c r="J135" s="207" t="str">
        <f t="shared" si="4"/>
        <v>수료</v>
      </c>
      <c r="K135" s="197"/>
      <c r="L135" s="88"/>
      <c r="M135" s="88"/>
      <c r="N135" s="88"/>
      <c r="O135" s="88"/>
      <c r="P135" s="88"/>
      <c r="Q135" s="88"/>
      <c r="R135" s="88"/>
      <c r="S135" s="88"/>
      <c r="T135" s="88"/>
      <c r="U135" s="88"/>
      <c r="V135" s="88"/>
      <c r="W135" s="88"/>
      <c r="X135" s="88"/>
      <c r="Y135" s="88"/>
      <c r="Z135" s="88"/>
      <c r="AB135" s="88"/>
      <c r="AD135" s="88"/>
    </row>
    <row r="136" spans="2:30" ht="20.100000000000001" customHeight="1">
      <c r="B136" s="108">
        <v>133</v>
      </c>
      <c r="C136" s="256"/>
      <c r="D136" s="204" t="s">
        <v>296</v>
      </c>
      <c r="E136" s="204" t="s">
        <v>120</v>
      </c>
      <c r="F136" s="204" t="s">
        <v>298</v>
      </c>
      <c r="G136" s="205">
        <v>14</v>
      </c>
      <c r="H136" s="205">
        <v>12</v>
      </c>
      <c r="I136" s="206">
        <f t="shared" si="6"/>
        <v>0.8571428571428571</v>
      </c>
      <c r="J136" s="207" t="str">
        <f t="shared" si="4"/>
        <v>수료</v>
      </c>
      <c r="K136" s="197"/>
      <c r="L136" s="88"/>
      <c r="M136" s="88"/>
      <c r="N136" s="88"/>
      <c r="O136" s="88"/>
      <c r="P136" s="88"/>
      <c r="Q136" s="88"/>
      <c r="R136" s="88"/>
      <c r="S136" s="88"/>
      <c r="T136" s="88"/>
      <c r="U136" s="88"/>
      <c r="V136" s="88"/>
      <c r="W136" s="88"/>
      <c r="X136" s="88"/>
      <c r="Y136" s="88"/>
      <c r="Z136" s="88"/>
      <c r="AB136" s="88"/>
      <c r="AC136" s="88"/>
      <c r="AD136" s="88"/>
    </row>
    <row r="137" spans="2:30" ht="20.100000000000001" customHeight="1">
      <c r="B137" s="108">
        <v>134</v>
      </c>
      <c r="C137" s="256"/>
      <c r="D137" s="204" t="s">
        <v>623</v>
      </c>
      <c r="E137" s="204" t="s">
        <v>120</v>
      </c>
      <c r="F137" s="204" t="s">
        <v>632</v>
      </c>
      <c r="G137" s="205">
        <v>14</v>
      </c>
      <c r="H137" s="205">
        <v>14</v>
      </c>
      <c r="I137" s="206">
        <f t="shared" si="6"/>
        <v>1</v>
      </c>
      <c r="J137" s="207" t="str">
        <f t="shared" si="4"/>
        <v>수료</v>
      </c>
      <c r="K137" s="197"/>
      <c r="L137" s="88"/>
      <c r="M137" s="88"/>
      <c r="N137" s="88"/>
      <c r="O137" s="88"/>
      <c r="P137" s="88"/>
      <c r="Q137" s="88"/>
      <c r="R137" s="88"/>
      <c r="S137" s="88"/>
      <c r="T137" s="88"/>
      <c r="U137" s="88"/>
      <c r="V137" s="88"/>
      <c r="W137" s="88"/>
      <c r="X137" s="88"/>
      <c r="Y137" s="88"/>
      <c r="Z137" s="88"/>
    </row>
    <row r="138" spans="2:30" ht="20.100000000000001" customHeight="1">
      <c r="B138" s="108">
        <v>135</v>
      </c>
      <c r="C138" s="256"/>
      <c r="D138" s="204" t="s">
        <v>544</v>
      </c>
      <c r="E138" s="204" t="s">
        <v>120</v>
      </c>
      <c r="F138" s="204" t="s">
        <v>547</v>
      </c>
      <c r="G138" s="205">
        <v>14</v>
      </c>
      <c r="H138" s="205">
        <v>14</v>
      </c>
      <c r="I138" s="206">
        <f t="shared" si="6"/>
        <v>1</v>
      </c>
      <c r="J138" s="207" t="str">
        <f t="shared" si="4"/>
        <v>수료</v>
      </c>
      <c r="K138" s="197"/>
      <c r="L138" s="88"/>
      <c r="M138" s="88"/>
      <c r="N138" s="88"/>
      <c r="O138" s="88"/>
      <c r="P138" s="88"/>
      <c r="Q138" s="88"/>
      <c r="R138" s="88"/>
      <c r="S138" s="88"/>
      <c r="T138" s="88"/>
      <c r="U138" s="88"/>
      <c r="V138" s="88"/>
      <c r="W138" s="88"/>
      <c r="X138" s="88"/>
      <c r="Y138" s="88"/>
      <c r="Z138" s="88"/>
    </row>
    <row r="139" spans="2:30" ht="20.100000000000001" customHeight="1">
      <c r="B139" s="108">
        <v>136</v>
      </c>
      <c r="C139" s="256"/>
      <c r="D139" s="204" t="s">
        <v>624</v>
      </c>
      <c r="E139" s="204" t="s">
        <v>120</v>
      </c>
      <c r="F139" s="204" t="s">
        <v>633</v>
      </c>
      <c r="G139" s="205">
        <v>14</v>
      </c>
      <c r="H139" s="205">
        <v>14</v>
      </c>
      <c r="I139" s="206">
        <f>H139/G139</f>
        <v>1</v>
      </c>
      <c r="J139" s="207" t="str">
        <f t="shared" si="4"/>
        <v>수료</v>
      </c>
      <c r="K139" s="197"/>
      <c r="L139" s="88"/>
      <c r="M139" s="88"/>
      <c r="N139" s="88"/>
      <c r="O139" s="88"/>
      <c r="P139" s="88"/>
      <c r="Q139" s="88"/>
      <c r="R139" s="88"/>
      <c r="S139" s="88"/>
      <c r="T139" s="88"/>
      <c r="U139" s="88"/>
      <c r="V139" s="88"/>
      <c r="W139" s="88"/>
      <c r="X139" s="88"/>
      <c r="Y139" s="88"/>
      <c r="Z139" s="88"/>
    </row>
    <row r="140" spans="2:30" ht="20.100000000000001" customHeight="1">
      <c r="B140" s="108">
        <v>137</v>
      </c>
      <c r="C140" s="256"/>
      <c r="D140" s="204" t="s">
        <v>625</v>
      </c>
      <c r="E140" s="204" t="s">
        <v>120</v>
      </c>
      <c r="F140" s="204" t="s">
        <v>634</v>
      </c>
      <c r="G140" s="205">
        <v>14</v>
      </c>
      <c r="H140" s="205">
        <v>13</v>
      </c>
      <c r="I140" s="206">
        <f>H140/G140</f>
        <v>0.9285714285714286</v>
      </c>
      <c r="J140" s="207" t="str">
        <f t="shared" si="4"/>
        <v>수료</v>
      </c>
      <c r="K140" s="197"/>
      <c r="L140" s="88"/>
      <c r="M140" s="88"/>
      <c r="N140" s="88"/>
      <c r="O140" s="88"/>
      <c r="P140" s="88"/>
      <c r="Q140" s="88"/>
      <c r="R140" s="88"/>
      <c r="S140" s="88"/>
      <c r="T140" s="88"/>
      <c r="U140" s="88"/>
      <c r="V140" s="88"/>
      <c r="W140" s="88"/>
      <c r="X140" s="88"/>
      <c r="Y140" s="88"/>
      <c r="Z140" s="88"/>
    </row>
    <row r="141" spans="2:30" ht="20.100000000000001" customHeight="1">
      <c r="B141" s="108">
        <v>138</v>
      </c>
      <c r="C141" s="256"/>
      <c r="D141" s="204" t="s">
        <v>158</v>
      </c>
      <c r="E141" s="204" t="s">
        <v>120</v>
      </c>
      <c r="F141" s="204" t="s">
        <v>205</v>
      </c>
      <c r="G141" s="205">
        <v>14</v>
      </c>
      <c r="H141" s="205">
        <v>13</v>
      </c>
      <c r="I141" s="206">
        <f>H141/G141</f>
        <v>0.9285714285714286</v>
      </c>
      <c r="J141" s="207" t="str">
        <f t="shared" si="4"/>
        <v>수료</v>
      </c>
      <c r="K141" s="197"/>
      <c r="L141" s="88"/>
      <c r="M141" s="88"/>
      <c r="N141" s="88"/>
      <c r="O141" s="88"/>
      <c r="P141" s="88"/>
      <c r="Q141" s="88"/>
      <c r="R141" s="88"/>
      <c r="S141" s="88"/>
      <c r="T141" s="88"/>
      <c r="U141" s="88"/>
      <c r="V141" s="88"/>
      <c r="W141" s="88"/>
      <c r="X141" s="88"/>
      <c r="Y141" s="88"/>
      <c r="Z141" s="88"/>
    </row>
    <row r="142" spans="2:30" ht="20.100000000000001" customHeight="1">
      <c r="B142" s="108">
        <v>139</v>
      </c>
      <c r="C142" s="256"/>
      <c r="D142" s="204" t="s">
        <v>212</v>
      </c>
      <c r="E142" s="204" t="s">
        <v>120</v>
      </c>
      <c r="F142" s="204" t="s">
        <v>213</v>
      </c>
      <c r="G142" s="205">
        <v>14</v>
      </c>
      <c r="H142" s="205">
        <v>13</v>
      </c>
      <c r="I142" s="206">
        <f>H142/G142</f>
        <v>0.9285714285714286</v>
      </c>
      <c r="J142" s="207" t="str">
        <f t="shared" si="4"/>
        <v>수료</v>
      </c>
      <c r="K142" s="197"/>
      <c r="L142" s="88"/>
      <c r="M142" s="88"/>
      <c r="N142" s="88"/>
      <c r="O142" s="88"/>
      <c r="P142" s="88"/>
      <c r="Q142" s="88"/>
      <c r="R142" s="88"/>
      <c r="S142" s="88"/>
      <c r="T142" s="88"/>
      <c r="U142" s="88"/>
      <c r="V142" s="88"/>
      <c r="W142" s="88"/>
      <c r="X142" s="88"/>
      <c r="Y142" s="88"/>
      <c r="Z142" s="88"/>
    </row>
    <row r="143" spans="2:30" ht="20.100000000000001" customHeight="1">
      <c r="B143" s="108">
        <v>140</v>
      </c>
      <c r="C143" s="256"/>
      <c r="D143" s="204" t="s">
        <v>187</v>
      </c>
      <c r="E143" s="204" t="s">
        <v>120</v>
      </c>
      <c r="F143" s="204" t="s">
        <v>123</v>
      </c>
      <c r="G143" s="205">
        <v>14</v>
      </c>
      <c r="H143" s="205">
        <v>13</v>
      </c>
      <c r="I143" s="206">
        <f t="shared" si="6"/>
        <v>0.9285714285714286</v>
      </c>
      <c r="J143" s="207" t="str">
        <f t="shared" si="4"/>
        <v>수료</v>
      </c>
      <c r="K143" s="197"/>
      <c r="L143" s="88"/>
      <c r="M143" s="88"/>
      <c r="N143" s="88"/>
      <c r="O143" s="88"/>
      <c r="P143" s="88"/>
      <c r="Q143" s="88"/>
      <c r="R143" s="88"/>
      <c r="S143" s="88"/>
      <c r="T143" s="88"/>
      <c r="U143" s="88"/>
      <c r="V143" s="88"/>
      <c r="W143" s="88"/>
      <c r="X143" s="88"/>
      <c r="Y143" s="88"/>
      <c r="Z143" s="88"/>
      <c r="AA143" s="88"/>
      <c r="AB143" s="88"/>
      <c r="AC143" s="88"/>
      <c r="AD143" s="258"/>
    </row>
    <row r="144" spans="2:30" ht="20.100000000000001" customHeight="1">
      <c r="B144" s="108">
        <v>141</v>
      </c>
      <c r="C144" s="256"/>
      <c r="D144" s="204" t="s">
        <v>626</v>
      </c>
      <c r="E144" s="204" t="s">
        <v>120</v>
      </c>
      <c r="F144" s="204" t="s">
        <v>635</v>
      </c>
      <c r="G144" s="205">
        <v>14</v>
      </c>
      <c r="H144" s="205">
        <v>13</v>
      </c>
      <c r="I144" s="206">
        <f t="shared" si="6"/>
        <v>0.9285714285714286</v>
      </c>
      <c r="J144" s="207" t="str">
        <f t="shared" si="4"/>
        <v>수료</v>
      </c>
      <c r="K144" s="197"/>
      <c r="L144" s="88"/>
      <c r="M144" s="88"/>
      <c r="N144" s="88"/>
      <c r="O144" s="88"/>
      <c r="P144" s="88"/>
      <c r="Q144" s="88"/>
      <c r="R144" s="88"/>
      <c r="S144" s="88"/>
      <c r="T144" s="88"/>
      <c r="U144" s="88"/>
      <c r="V144" s="88"/>
      <c r="W144" s="88"/>
      <c r="X144" s="88"/>
      <c r="Y144" s="88"/>
      <c r="Z144" s="88"/>
      <c r="AA144" s="88"/>
      <c r="AB144" s="88"/>
      <c r="AC144" s="88"/>
      <c r="AD144" s="258"/>
    </row>
    <row r="145" spans="2:30" ht="20.100000000000001" customHeight="1">
      <c r="B145" s="108">
        <v>142</v>
      </c>
      <c r="C145" s="256"/>
      <c r="D145" s="204" t="s">
        <v>627</v>
      </c>
      <c r="E145" s="204" t="s">
        <v>120</v>
      </c>
      <c r="F145" s="204" t="s">
        <v>636</v>
      </c>
      <c r="G145" s="205">
        <v>14</v>
      </c>
      <c r="H145" s="205">
        <v>9</v>
      </c>
      <c r="I145" s="206">
        <f t="shared" si="6"/>
        <v>0.6428571428571429</v>
      </c>
      <c r="J145" s="207" t="str">
        <f t="shared" si="4"/>
        <v>미수료</v>
      </c>
      <c r="K145" s="197"/>
      <c r="L145" s="88"/>
      <c r="M145" s="88"/>
      <c r="N145" s="88"/>
      <c r="O145" s="88"/>
      <c r="P145" s="88"/>
      <c r="Q145" s="88"/>
      <c r="R145" s="88"/>
      <c r="S145" s="88"/>
      <c r="T145" s="88"/>
      <c r="U145" s="88"/>
      <c r="V145" s="88"/>
      <c r="W145" s="88"/>
      <c r="X145" s="88"/>
      <c r="Y145" s="88"/>
      <c r="Z145" s="88"/>
      <c r="AA145" s="88"/>
      <c r="AB145" s="88"/>
      <c r="AC145" s="88"/>
      <c r="AD145" s="258"/>
    </row>
    <row r="146" spans="2:30" ht="20.100000000000001" customHeight="1">
      <c r="B146" s="108">
        <v>143</v>
      </c>
      <c r="C146" s="256" t="s">
        <v>468</v>
      </c>
      <c r="D146" s="204" t="s">
        <v>637</v>
      </c>
      <c r="E146" s="204" t="s">
        <v>122</v>
      </c>
      <c r="F146" s="204" t="s">
        <v>645</v>
      </c>
      <c r="G146" s="205">
        <v>28</v>
      </c>
      <c r="H146" s="205">
        <v>27</v>
      </c>
      <c r="I146" s="206">
        <f t="shared" si="6"/>
        <v>0.9642857142857143</v>
      </c>
      <c r="J146" s="207" t="str">
        <f t="shared" ref="J146:J209" si="7">IF(I146&gt;=70%,"수료","미수료")</f>
        <v>수료</v>
      </c>
      <c r="K146" s="197"/>
      <c r="L146" s="88"/>
      <c r="M146" s="88"/>
      <c r="N146" s="88"/>
      <c r="O146" s="88"/>
      <c r="P146" s="88"/>
      <c r="Q146" s="88"/>
      <c r="R146" s="88"/>
      <c r="S146" s="88"/>
      <c r="T146" s="88"/>
      <c r="U146" s="88"/>
      <c r="V146" s="88"/>
      <c r="W146" s="88"/>
      <c r="X146" s="88"/>
      <c r="Y146" s="88"/>
      <c r="Z146" s="88"/>
      <c r="AA146" s="88"/>
      <c r="AB146" s="88"/>
      <c r="AC146" s="88"/>
      <c r="AD146" s="258"/>
    </row>
    <row r="147" spans="2:30" ht="20.100000000000001" customHeight="1">
      <c r="B147" s="108">
        <v>144</v>
      </c>
      <c r="C147" s="256"/>
      <c r="D147" s="204" t="s">
        <v>300</v>
      </c>
      <c r="E147" s="204" t="s">
        <v>122</v>
      </c>
      <c r="F147" s="204" t="s">
        <v>304</v>
      </c>
      <c r="G147" s="205">
        <v>28</v>
      </c>
      <c r="H147" s="205">
        <v>21</v>
      </c>
      <c r="I147" s="206">
        <f t="shared" si="6"/>
        <v>0.75</v>
      </c>
      <c r="J147" s="207" t="str">
        <f t="shared" si="7"/>
        <v>수료</v>
      </c>
      <c r="K147" s="197"/>
      <c r="L147" s="88"/>
      <c r="M147" s="88"/>
      <c r="N147" s="88"/>
      <c r="O147" s="88"/>
      <c r="P147" s="88"/>
      <c r="Q147" s="88"/>
      <c r="R147" s="88"/>
      <c r="S147" s="88"/>
      <c r="T147" s="88"/>
      <c r="U147" s="88"/>
      <c r="V147" s="88"/>
      <c r="W147" s="88"/>
      <c r="X147" s="88"/>
      <c r="Y147" s="88"/>
      <c r="Z147" s="88"/>
      <c r="AA147" s="88"/>
      <c r="AB147" s="88"/>
      <c r="AC147" s="88"/>
      <c r="AD147" s="258"/>
    </row>
    <row r="148" spans="2:30" ht="20.100000000000001" customHeight="1">
      <c r="B148" s="108">
        <v>145</v>
      </c>
      <c r="C148" s="256"/>
      <c r="D148" s="204" t="s">
        <v>550</v>
      </c>
      <c r="E148" s="204" t="s">
        <v>120</v>
      </c>
      <c r="F148" s="204" t="s">
        <v>646</v>
      </c>
      <c r="G148" s="205">
        <v>28</v>
      </c>
      <c r="H148" s="205">
        <v>26</v>
      </c>
      <c r="I148" s="206">
        <f t="shared" si="6"/>
        <v>0.9285714285714286</v>
      </c>
      <c r="J148" s="207" t="str">
        <f t="shared" si="7"/>
        <v>수료</v>
      </c>
      <c r="K148" s="197"/>
      <c r="L148" s="88"/>
      <c r="M148" s="88"/>
      <c r="N148" s="88"/>
      <c r="O148" s="88"/>
      <c r="P148" s="88"/>
      <c r="Q148" s="88"/>
      <c r="R148" s="88"/>
      <c r="S148" s="88"/>
      <c r="T148" s="88"/>
      <c r="U148" s="88"/>
      <c r="V148" s="88"/>
      <c r="W148" s="88"/>
      <c r="X148" s="88"/>
      <c r="Y148" s="88"/>
      <c r="Z148" s="88"/>
      <c r="AA148" s="88"/>
      <c r="AB148" s="88"/>
      <c r="AC148" s="88"/>
      <c r="AD148" s="258"/>
    </row>
    <row r="149" spans="2:30" ht="20.100000000000001" customHeight="1">
      <c r="B149" s="108">
        <v>146</v>
      </c>
      <c r="C149" s="256"/>
      <c r="D149" s="204" t="s">
        <v>638</v>
      </c>
      <c r="E149" s="204" t="s">
        <v>120</v>
      </c>
      <c r="F149" s="204" t="s">
        <v>647</v>
      </c>
      <c r="G149" s="205">
        <v>28</v>
      </c>
      <c r="H149" s="205">
        <v>25</v>
      </c>
      <c r="I149" s="206">
        <f>H149/G149</f>
        <v>0.8928571428571429</v>
      </c>
      <c r="J149" s="207" t="str">
        <f t="shared" si="7"/>
        <v>수료</v>
      </c>
      <c r="K149" s="197"/>
      <c r="L149" s="127"/>
      <c r="M149" s="127"/>
      <c r="N149" s="127"/>
      <c r="O149" s="127"/>
      <c r="P149" s="127"/>
      <c r="Q149" s="127"/>
      <c r="R149" s="127"/>
      <c r="S149" s="127"/>
      <c r="T149" s="127"/>
      <c r="U149" s="127"/>
      <c r="V149" s="127"/>
      <c r="W149" s="127"/>
      <c r="X149" s="127"/>
      <c r="Y149" s="127"/>
      <c r="Z149" s="127"/>
      <c r="AA149" s="127"/>
      <c r="AB149" s="127"/>
      <c r="AC149" s="127"/>
      <c r="AD149" s="258"/>
    </row>
    <row r="150" spans="2:30" ht="20.100000000000001" customHeight="1">
      <c r="B150" s="108">
        <v>147</v>
      </c>
      <c r="C150" s="256"/>
      <c r="D150" s="204" t="s">
        <v>301</v>
      </c>
      <c r="E150" s="204" t="s">
        <v>120</v>
      </c>
      <c r="F150" s="204" t="s">
        <v>305</v>
      </c>
      <c r="G150" s="205">
        <v>28</v>
      </c>
      <c r="H150" s="205">
        <v>24</v>
      </c>
      <c r="I150" s="206">
        <f>H150/G150</f>
        <v>0.8571428571428571</v>
      </c>
      <c r="J150" s="207" t="str">
        <f t="shared" si="7"/>
        <v>수료</v>
      </c>
      <c r="K150" s="197"/>
      <c r="L150" s="127"/>
      <c r="M150" s="127"/>
      <c r="N150" s="127"/>
      <c r="O150" s="127"/>
      <c r="P150" s="127"/>
      <c r="Q150" s="127"/>
      <c r="R150" s="127"/>
      <c r="S150" s="127"/>
      <c r="T150" s="127"/>
      <c r="U150" s="127"/>
      <c r="V150" s="127"/>
      <c r="W150" s="127"/>
      <c r="X150" s="127"/>
      <c r="Y150" s="127"/>
      <c r="Z150" s="127"/>
      <c r="AA150" s="127"/>
      <c r="AB150" s="127"/>
      <c r="AC150" s="127"/>
      <c r="AD150" s="258"/>
    </row>
    <row r="151" spans="2:30" ht="20.100000000000001" customHeight="1">
      <c r="B151" s="108">
        <v>148</v>
      </c>
      <c r="C151" s="256"/>
      <c r="D151" s="204" t="s">
        <v>223</v>
      </c>
      <c r="E151" s="204" t="s">
        <v>120</v>
      </c>
      <c r="F151" s="204" t="s">
        <v>224</v>
      </c>
      <c r="G151" s="205">
        <v>28</v>
      </c>
      <c r="H151" s="205">
        <v>26</v>
      </c>
      <c r="I151" s="206">
        <f t="shared" si="6"/>
        <v>0.9285714285714286</v>
      </c>
      <c r="J151" s="207" t="str">
        <f t="shared" si="7"/>
        <v>수료</v>
      </c>
      <c r="K151" s="197"/>
      <c r="L151" s="88"/>
      <c r="M151" s="88"/>
      <c r="N151" s="88"/>
      <c r="O151" s="88"/>
      <c r="P151" s="88"/>
      <c r="Q151" s="88"/>
      <c r="R151" s="88"/>
      <c r="S151" s="88"/>
      <c r="T151" s="88"/>
      <c r="U151" s="88"/>
      <c r="V151" s="88"/>
      <c r="W151" s="88"/>
      <c r="X151" s="88"/>
      <c r="Y151" s="88"/>
      <c r="Z151" s="88"/>
      <c r="AA151" s="88"/>
      <c r="AB151" s="88"/>
      <c r="AC151" s="88"/>
      <c r="AD151" s="258"/>
    </row>
    <row r="152" spans="2:30" ht="20.100000000000001" customHeight="1">
      <c r="B152" s="108">
        <v>149</v>
      </c>
      <c r="C152" s="256"/>
      <c r="D152" s="204" t="s">
        <v>225</v>
      </c>
      <c r="E152" s="204" t="s">
        <v>122</v>
      </c>
      <c r="F152" s="204" t="s">
        <v>226</v>
      </c>
      <c r="G152" s="205">
        <v>28</v>
      </c>
      <c r="H152" s="205">
        <v>26</v>
      </c>
      <c r="I152" s="206">
        <f t="shared" si="6"/>
        <v>0.9285714285714286</v>
      </c>
      <c r="J152" s="207" t="str">
        <f t="shared" si="7"/>
        <v>수료</v>
      </c>
      <c r="K152" s="197"/>
      <c r="L152" s="88"/>
      <c r="M152" s="88"/>
      <c r="N152" s="88"/>
      <c r="O152" s="88"/>
      <c r="P152" s="88"/>
      <c r="Q152" s="88"/>
      <c r="R152" s="88"/>
      <c r="S152" s="88"/>
      <c r="T152" s="88"/>
      <c r="U152" s="88"/>
      <c r="V152" s="88"/>
      <c r="W152" s="88"/>
      <c r="X152" s="88"/>
      <c r="Y152" s="88"/>
      <c r="Z152" s="88"/>
      <c r="AA152" s="88"/>
      <c r="AB152" s="88"/>
      <c r="AC152" s="88"/>
      <c r="AD152" s="258"/>
    </row>
    <row r="153" spans="2:30" ht="20.100000000000001" customHeight="1">
      <c r="B153" s="108">
        <v>150</v>
      </c>
      <c r="C153" s="256"/>
      <c r="D153" s="204" t="s">
        <v>302</v>
      </c>
      <c r="E153" s="204" t="s">
        <v>711</v>
      </c>
      <c r="F153" s="204" t="s">
        <v>306</v>
      </c>
      <c r="G153" s="205">
        <v>28</v>
      </c>
      <c r="H153" s="205">
        <v>9</v>
      </c>
      <c r="I153" s="206">
        <f t="shared" si="6"/>
        <v>0.32142857142857145</v>
      </c>
      <c r="J153" s="207" t="str">
        <f t="shared" si="7"/>
        <v>미수료</v>
      </c>
      <c r="K153" s="197"/>
      <c r="L153" s="88"/>
      <c r="M153" s="88"/>
      <c r="N153" s="88"/>
      <c r="O153" s="88"/>
      <c r="P153" s="88"/>
      <c r="Q153" s="88"/>
      <c r="R153" s="88"/>
      <c r="S153" s="88"/>
      <c r="T153" s="88"/>
      <c r="U153" s="88"/>
      <c r="V153" s="88"/>
      <c r="W153" s="88"/>
      <c r="X153" s="88"/>
      <c r="Y153" s="88"/>
      <c r="Z153" s="88"/>
      <c r="AA153" s="88"/>
      <c r="AB153" s="88"/>
      <c r="AC153" s="88"/>
      <c r="AD153" s="258"/>
    </row>
    <row r="154" spans="2:30" ht="20.100000000000001" customHeight="1">
      <c r="B154" s="108">
        <v>151</v>
      </c>
      <c r="C154" s="256"/>
      <c r="D154" s="204" t="s">
        <v>639</v>
      </c>
      <c r="E154" s="204" t="s">
        <v>120</v>
      </c>
      <c r="F154" s="204" t="s">
        <v>299</v>
      </c>
      <c r="G154" s="205">
        <v>28</v>
      </c>
      <c r="H154" s="205">
        <v>4</v>
      </c>
      <c r="I154" s="206">
        <f t="shared" si="6"/>
        <v>0.14285714285714285</v>
      </c>
      <c r="J154" s="207" t="str">
        <f t="shared" si="7"/>
        <v>미수료</v>
      </c>
      <c r="K154" s="197"/>
      <c r="L154" s="88"/>
      <c r="M154" s="88"/>
      <c r="N154" s="88"/>
      <c r="O154" s="88"/>
      <c r="P154" s="88"/>
      <c r="Q154" s="88"/>
      <c r="R154" s="88"/>
      <c r="S154" s="88"/>
      <c r="T154" s="88"/>
      <c r="U154" s="88"/>
      <c r="V154" s="88"/>
      <c r="W154" s="88"/>
      <c r="X154" s="88"/>
      <c r="Y154" s="88"/>
      <c r="Z154" s="88"/>
      <c r="AA154" s="88"/>
      <c r="AB154" s="88"/>
      <c r="AC154" s="88"/>
      <c r="AD154" s="258"/>
    </row>
    <row r="155" spans="2:30" ht="20.100000000000001" customHeight="1">
      <c r="B155" s="108">
        <v>152</v>
      </c>
      <c r="C155" s="256"/>
      <c r="D155" s="204" t="s">
        <v>227</v>
      </c>
      <c r="E155" s="204" t="s">
        <v>122</v>
      </c>
      <c r="F155" s="204" t="s">
        <v>228</v>
      </c>
      <c r="G155" s="205">
        <v>28</v>
      </c>
      <c r="H155" s="205">
        <v>28</v>
      </c>
      <c r="I155" s="206">
        <f t="shared" si="6"/>
        <v>1</v>
      </c>
      <c r="J155" s="207" t="str">
        <f t="shared" si="7"/>
        <v>수료</v>
      </c>
      <c r="K155" s="197"/>
      <c r="L155" s="88"/>
      <c r="M155" s="88"/>
      <c r="N155" s="88"/>
      <c r="O155" s="88"/>
      <c r="P155" s="88"/>
      <c r="Q155" s="88"/>
      <c r="R155" s="88"/>
      <c r="S155" s="88"/>
      <c r="T155" s="88"/>
      <c r="U155" s="88"/>
      <c r="V155" s="88"/>
      <c r="W155" s="88"/>
      <c r="X155" s="88"/>
      <c r="Y155" s="88"/>
      <c r="Z155" s="88"/>
      <c r="AA155" s="88"/>
      <c r="AB155" s="88"/>
      <c r="AC155" s="88"/>
      <c r="AD155" s="258"/>
    </row>
    <row r="156" spans="2:30" ht="20.100000000000001" customHeight="1">
      <c r="B156" s="108">
        <v>153</v>
      </c>
      <c r="C156" s="256"/>
      <c r="D156" s="204" t="s">
        <v>317</v>
      </c>
      <c r="E156" s="204" t="s">
        <v>120</v>
      </c>
      <c r="F156" s="204" t="s">
        <v>319</v>
      </c>
      <c r="G156" s="205">
        <v>28</v>
      </c>
      <c r="H156" s="205">
        <v>11</v>
      </c>
      <c r="I156" s="206">
        <f t="shared" si="6"/>
        <v>0.39285714285714285</v>
      </c>
      <c r="J156" s="207" t="str">
        <f t="shared" si="7"/>
        <v>미수료</v>
      </c>
      <c r="K156" s="197"/>
      <c r="L156" s="88"/>
      <c r="M156" s="88"/>
      <c r="N156" s="88"/>
      <c r="O156" s="88"/>
      <c r="P156" s="88"/>
      <c r="Q156" s="88"/>
      <c r="R156" s="88"/>
      <c r="S156" s="88"/>
      <c r="T156" s="88"/>
      <c r="U156" s="88"/>
      <c r="V156" s="88"/>
      <c r="W156" s="88"/>
      <c r="X156" s="88"/>
      <c r="Y156" s="88"/>
      <c r="Z156" s="88"/>
      <c r="AA156" s="88"/>
      <c r="AB156" s="88"/>
      <c r="AC156" s="88"/>
      <c r="AD156" s="258"/>
    </row>
    <row r="157" spans="2:30" ht="20.100000000000001" customHeight="1">
      <c r="B157" s="108">
        <v>154</v>
      </c>
      <c r="C157" s="256"/>
      <c r="D157" s="204" t="s">
        <v>229</v>
      </c>
      <c r="E157" s="204" t="s">
        <v>711</v>
      </c>
      <c r="F157" s="204" t="s">
        <v>230</v>
      </c>
      <c r="G157" s="205">
        <v>28</v>
      </c>
      <c r="H157" s="205">
        <v>20</v>
      </c>
      <c r="I157" s="206">
        <f t="shared" si="6"/>
        <v>0.7142857142857143</v>
      </c>
      <c r="J157" s="207" t="str">
        <f t="shared" si="7"/>
        <v>수료</v>
      </c>
      <c r="K157" s="197"/>
      <c r="L157" s="88"/>
      <c r="M157" s="88"/>
      <c r="N157" s="88"/>
      <c r="O157" s="88"/>
      <c r="P157" s="88"/>
      <c r="Q157" s="88"/>
      <c r="R157" s="88"/>
      <c r="S157" s="88"/>
      <c r="T157" s="88"/>
      <c r="U157" s="88"/>
      <c r="V157" s="88"/>
      <c r="W157" s="88"/>
      <c r="X157" s="88"/>
      <c r="Y157" s="88"/>
      <c r="Z157" s="88"/>
      <c r="AA157" s="88"/>
      <c r="AB157" s="88"/>
      <c r="AC157" s="88"/>
      <c r="AD157" s="258"/>
    </row>
    <row r="158" spans="2:30" ht="20.100000000000001" customHeight="1">
      <c r="B158" s="108">
        <v>155</v>
      </c>
      <c r="C158" s="256"/>
      <c r="D158" s="204" t="s">
        <v>640</v>
      </c>
      <c r="E158" s="204" t="s">
        <v>120</v>
      </c>
      <c r="F158" s="204" t="s">
        <v>648</v>
      </c>
      <c r="G158" s="205">
        <v>28</v>
      </c>
      <c r="H158" s="205">
        <v>17</v>
      </c>
      <c r="I158" s="206">
        <f t="shared" si="6"/>
        <v>0.6071428571428571</v>
      </c>
      <c r="J158" s="207" t="str">
        <f t="shared" si="7"/>
        <v>미수료</v>
      </c>
      <c r="K158" s="197"/>
      <c r="L158" s="88"/>
      <c r="N158" s="88"/>
      <c r="O158" s="88"/>
      <c r="P158" s="88"/>
      <c r="Q158" s="88"/>
      <c r="R158" s="88"/>
      <c r="S158" s="88"/>
      <c r="T158" s="88"/>
      <c r="U158" s="88"/>
      <c r="V158" s="88"/>
      <c r="W158" s="88"/>
      <c r="X158" s="88"/>
      <c r="Y158" s="88"/>
      <c r="Z158" s="88"/>
      <c r="AA158" s="88"/>
      <c r="AB158" s="88"/>
      <c r="AC158" s="88"/>
      <c r="AD158" s="258"/>
    </row>
    <row r="159" spans="2:30" ht="20.100000000000001" customHeight="1">
      <c r="B159" s="108">
        <v>156</v>
      </c>
      <c r="C159" s="256"/>
      <c r="D159" s="204" t="s">
        <v>641</v>
      </c>
      <c r="E159" s="204" t="s">
        <v>122</v>
      </c>
      <c r="F159" s="204" t="s">
        <v>649</v>
      </c>
      <c r="G159" s="205">
        <v>28</v>
      </c>
      <c r="H159" s="205">
        <v>3</v>
      </c>
      <c r="I159" s="206">
        <f t="shared" si="6"/>
        <v>0.10714285714285714</v>
      </c>
      <c r="J159" s="207" t="str">
        <f t="shared" si="7"/>
        <v>미수료</v>
      </c>
      <c r="K159" s="197"/>
      <c r="L159" s="88"/>
      <c r="M159" s="88"/>
      <c r="N159" s="88"/>
      <c r="O159" s="88"/>
      <c r="P159" s="88"/>
      <c r="Q159" s="88"/>
      <c r="R159" s="88"/>
      <c r="S159" s="88"/>
      <c r="T159" s="88"/>
      <c r="U159" s="88"/>
      <c r="V159" s="88"/>
      <c r="W159" s="88"/>
      <c r="X159" s="88"/>
      <c r="Y159" s="88"/>
      <c r="Z159" s="88"/>
      <c r="AA159" s="88"/>
      <c r="AB159" s="88"/>
      <c r="AC159" s="88"/>
      <c r="AD159" s="258"/>
    </row>
    <row r="160" spans="2:30" ht="20.100000000000001" customHeight="1">
      <c r="B160" s="108">
        <v>157</v>
      </c>
      <c r="C160" s="256"/>
      <c r="D160" s="204" t="s">
        <v>642</v>
      </c>
      <c r="E160" s="204" t="s">
        <v>120</v>
      </c>
      <c r="F160" s="204" t="s">
        <v>650</v>
      </c>
      <c r="G160" s="205">
        <v>28</v>
      </c>
      <c r="H160" s="205">
        <v>22</v>
      </c>
      <c r="I160" s="206">
        <f t="shared" si="6"/>
        <v>0.7857142857142857</v>
      </c>
      <c r="J160" s="207" t="str">
        <f t="shared" si="7"/>
        <v>수료</v>
      </c>
      <c r="K160" s="197"/>
      <c r="L160" s="88"/>
      <c r="M160" s="88"/>
      <c r="N160" s="88"/>
      <c r="O160" s="88"/>
      <c r="P160" s="88"/>
      <c r="Q160" s="88"/>
      <c r="R160" s="88"/>
      <c r="S160" s="88"/>
      <c r="T160" s="88"/>
      <c r="U160" s="88"/>
      <c r="V160" s="88"/>
      <c r="W160" s="88"/>
      <c r="X160" s="88"/>
      <c r="Y160" s="88"/>
      <c r="Z160" s="88"/>
      <c r="AA160" s="88"/>
      <c r="AB160" s="88"/>
      <c r="AC160" s="88"/>
      <c r="AD160" s="258"/>
    </row>
    <row r="161" spans="2:30" ht="20.100000000000001" customHeight="1">
      <c r="B161" s="108">
        <v>158</v>
      </c>
      <c r="C161" s="256"/>
      <c r="D161" s="204" t="s">
        <v>203</v>
      </c>
      <c r="E161" s="204" t="s">
        <v>120</v>
      </c>
      <c r="F161" s="204" t="s">
        <v>204</v>
      </c>
      <c r="G161" s="205">
        <v>28</v>
      </c>
      <c r="H161" s="205">
        <v>24</v>
      </c>
      <c r="I161" s="206">
        <f t="shared" si="6"/>
        <v>0.8571428571428571</v>
      </c>
      <c r="J161" s="207" t="str">
        <f t="shared" si="7"/>
        <v>수료</v>
      </c>
      <c r="K161" s="197"/>
      <c r="L161" s="88"/>
      <c r="M161" s="88"/>
      <c r="N161" s="88"/>
      <c r="O161" s="88"/>
      <c r="P161" s="88"/>
      <c r="Q161" s="88"/>
      <c r="R161" s="88"/>
      <c r="S161" s="88"/>
      <c r="T161" s="88"/>
      <c r="U161" s="88"/>
      <c r="V161" s="88"/>
      <c r="W161" s="88"/>
      <c r="X161" s="88"/>
      <c r="Y161" s="88"/>
      <c r="Z161" s="88"/>
      <c r="AA161" s="88"/>
      <c r="AB161" s="88"/>
      <c r="AC161" s="88"/>
      <c r="AD161" s="258"/>
    </row>
    <row r="162" spans="2:30" ht="20.100000000000001" customHeight="1">
      <c r="B162" s="108">
        <v>159</v>
      </c>
      <c r="C162" s="256"/>
      <c r="D162" s="204" t="s">
        <v>231</v>
      </c>
      <c r="E162" s="204" t="s">
        <v>120</v>
      </c>
      <c r="F162" s="204" t="s">
        <v>232</v>
      </c>
      <c r="G162" s="205">
        <v>28</v>
      </c>
      <c r="H162" s="205">
        <v>28</v>
      </c>
      <c r="I162" s="206">
        <f t="shared" si="6"/>
        <v>1</v>
      </c>
      <c r="J162" s="207" t="str">
        <f t="shared" si="7"/>
        <v>수료</v>
      </c>
      <c r="K162" s="197"/>
      <c r="L162" s="88"/>
      <c r="M162" s="88"/>
      <c r="N162" s="88"/>
      <c r="O162" s="88"/>
      <c r="P162" s="88"/>
      <c r="Q162" s="88"/>
      <c r="R162" s="88"/>
      <c r="S162" s="88"/>
      <c r="T162" s="88"/>
      <c r="U162" s="88"/>
      <c r="V162" s="88"/>
      <c r="W162" s="88"/>
      <c r="X162" s="88"/>
      <c r="Y162" s="88"/>
      <c r="Z162" s="88"/>
      <c r="AA162" s="88"/>
      <c r="AB162" s="88"/>
      <c r="AC162" s="88"/>
      <c r="AD162" s="258"/>
    </row>
    <row r="163" spans="2:30" ht="20.100000000000001" customHeight="1">
      <c r="B163" s="108">
        <v>160</v>
      </c>
      <c r="C163" s="256"/>
      <c r="D163" s="204" t="s">
        <v>643</v>
      </c>
      <c r="E163" s="204" t="s">
        <v>711</v>
      </c>
      <c r="F163" s="204" t="s">
        <v>651</v>
      </c>
      <c r="G163" s="205">
        <v>28</v>
      </c>
      <c r="H163" s="205">
        <v>12</v>
      </c>
      <c r="I163" s="206">
        <f t="shared" si="6"/>
        <v>0.42857142857142855</v>
      </c>
      <c r="J163" s="207" t="str">
        <f t="shared" si="7"/>
        <v>미수료</v>
      </c>
      <c r="K163" s="197"/>
      <c r="L163" s="88"/>
      <c r="M163" s="88"/>
      <c r="N163" s="88"/>
      <c r="O163" s="88"/>
      <c r="P163" s="88"/>
      <c r="Q163" s="88"/>
      <c r="R163" s="88"/>
      <c r="S163" s="88"/>
      <c r="T163" s="88"/>
      <c r="U163" s="88"/>
      <c r="V163" s="88"/>
      <c r="W163" s="88"/>
      <c r="X163" s="88"/>
      <c r="Y163" s="88"/>
      <c r="Z163" s="88"/>
      <c r="AA163" s="88"/>
      <c r="AB163" s="88"/>
      <c r="AC163" s="88"/>
      <c r="AD163" s="258"/>
    </row>
    <row r="164" spans="2:30" ht="20.100000000000001" customHeight="1">
      <c r="B164" s="108">
        <v>161</v>
      </c>
      <c r="C164" s="256"/>
      <c r="D164" s="204" t="s">
        <v>233</v>
      </c>
      <c r="E164" s="204" t="s">
        <v>120</v>
      </c>
      <c r="F164" s="204" t="s">
        <v>234</v>
      </c>
      <c r="G164" s="205">
        <v>28</v>
      </c>
      <c r="H164" s="205">
        <v>26</v>
      </c>
      <c r="I164" s="206">
        <f t="shared" si="6"/>
        <v>0.9285714285714286</v>
      </c>
      <c r="J164" s="207" t="str">
        <f t="shared" si="7"/>
        <v>수료</v>
      </c>
      <c r="K164" s="197"/>
      <c r="L164" s="88"/>
      <c r="M164" s="88"/>
      <c r="N164" s="88"/>
      <c r="O164" s="88"/>
      <c r="P164" s="88"/>
      <c r="Q164" s="88"/>
      <c r="R164" s="88"/>
      <c r="S164" s="88"/>
      <c r="T164" s="88"/>
      <c r="U164" s="88"/>
      <c r="V164" s="88"/>
      <c r="W164" s="88"/>
      <c r="X164" s="88"/>
      <c r="Y164" s="88"/>
      <c r="Z164" s="88"/>
      <c r="AA164" s="88"/>
      <c r="AB164" s="88"/>
      <c r="AC164" s="88"/>
      <c r="AD164" s="258"/>
    </row>
    <row r="165" spans="2:30" ht="20.100000000000001" customHeight="1">
      <c r="B165" s="108">
        <v>162</v>
      </c>
      <c r="C165" s="256"/>
      <c r="D165" s="204" t="s">
        <v>303</v>
      </c>
      <c r="E165" s="204" t="s">
        <v>122</v>
      </c>
      <c r="F165" s="204" t="s">
        <v>307</v>
      </c>
      <c r="G165" s="205">
        <v>28</v>
      </c>
      <c r="H165" s="205">
        <v>23</v>
      </c>
      <c r="I165" s="206">
        <f t="shared" si="6"/>
        <v>0.8214285714285714</v>
      </c>
      <c r="J165" s="207" t="str">
        <f t="shared" si="7"/>
        <v>수료</v>
      </c>
      <c r="K165" s="197"/>
      <c r="L165" s="88"/>
      <c r="M165" s="88"/>
      <c r="N165" s="88"/>
      <c r="O165" s="88"/>
      <c r="P165" s="88"/>
      <c r="Q165" s="88"/>
      <c r="R165" s="88"/>
      <c r="S165" s="88"/>
      <c r="T165" s="88"/>
      <c r="U165" s="88"/>
      <c r="V165" s="88"/>
      <c r="W165" s="88"/>
      <c r="X165" s="88"/>
      <c r="Y165" s="88"/>
      <c r="Z165" s="88"/>
      <c r="AA165" s="88"/>
      <c r="AB165" s="88"/>
      <c r="AC165" s="88"/>
      <c r="AD165" s="258"/>
    </row>
    <row r="166" spans="2:30" ht="20.100000000000001" customHeight="1">
      <c r="B166" s="108">
        <v>163</v>
      </c>
      <c r="C166" s="256"/>
      <c r="D166" s="204" t="s">
        <v>235</v>
      </c>
      <c r="E166" s="204" t="s">
        <v>120</v>
      </c>
      <c r="F166" s="204" t="s">
        <v>236</v>
      </c>
      <c r="G166" s="205">
        <v>28</v>
      </c>
      <c r="H166" s="205">
        <v>20</v>
      </c>
      <c r="I166" s="206">
        <f t="shared" si="6"/>
        <v>0.7142857142857143</v>
      </c>
      <c r="J166" s="207" t="str">
        <f t="shared" si="7"/>
        <v>수료</v>
      </c>
      <c r="K166" s="197"/>
      <c r="L166" s="88"/>
      <c r="M166" s="88"/>
      <c r="N166" s="88"/>
      <c r="O166" s="88"/>
      <c r="P166" s="88"/>
      <c r="Q166" s="88"/>
      <c r="R166" s="88"/>
      <c r="S166" s="88"/>
      <c r="T166" s="88"/>
      <c r="U166" s="88"/>
      <c r="V166" s="88"/>
      <c r="W166" s="88"/>
      <c r="X166" s="88"/>
      <c r="Y166" s="88"/>
      <c r="Z166" s="88"/>
      <c r="AA166" s="88"/>
      <c r="AB166" s="88"/>
      <c r="AC166" s="88"/>
      <c r="AD166" s="258"/>
    </row>
    <row r="167" spans="2:30" ht="20.100000000000001" customHeight="1">
      <c r="B167" s="108">
        <v>164</v>
      </c>
      <c r="C167" s="256"/>
      <c r="D167" s="204" t="s">
        <v>237</v>
      </c>
      <c r="E167" s="204" t="s">
        <v>122</v>
      </c>
      <c r="F167" s="204" t="s">
        <v>238</v>
      </c>
      <c r="G167" s="205">
        <v>28</v>
      </c>
      <c r="H167" s="205">
        <v>27</v>
      </c>
      <c r="I167" s="206">
        <f t="shared" si="6"/>
        <v>0.9642857142857143</v>
      </c>
      <c r="J167" s="207" t="str">
        <f t="shared" si="7"/>
        <v>수료</v>
      </c>
      <c r="N167" s="88"/>
      <c r="O167" s="88"/>
      <c r="P167" s="88"/>
      <c r="Q167" s="88"/>
      <c r="R167" s="88"/>
      <c r="S167" s="88"/>
      <c r="T167" s="88"/>
      <c r="U167" s="88"/>
      <c r="V167" s="88"/>
      <c r="W167" s="88"/>
      <c r="X167" s="88"/>
      <c r="Y167" s="88"/>
      <c r="Z167" s="88"/>
      <c r="AA167" s="88"/>
      <c r="AB167" s="88"/>
      <c r="AC167" s="88"/>
      <c r="AD167" s="258"/>
    </row>
    <row r="168" spans="2:30" ht="20.100000000000001" customHeight="1">
      <c r="B168" s="108">
        <v>165</v>
      </c>
      <c r="C168" s="256"/>
      <c r="D168" s="204" t="s">
        <v>644</v>
      </c>
      <c r="E168" s="204" t="s">
        <v>122</v>
      </c>
      <c r="F168" s="204" t="s">
        <v>652</v>
      </c>
      <c r="G168" s="205">
        <v>28</v>
      </c>
      <c r="H168" s="205">
        <v>23</v>
      </c>
      <c r="I168" s="206">
        <f>H168/G168</f>
        <v>0.8214285714285714</v>
      </c>
      <c r="J168" s="207" t="str">
        <f t="shared" si="7"/>
        <v>수료</v>
      </c>
      <c r="L168" s="128"/>
      <c r="M168" s="128"/>
      <c r="N168" s="127"/>
      <c r="O168" s="127"/>
      <c r="P168" s="127"/>
      <c r="Q168" s="127"/>
      <c r="R168" s="127"/>
      <c r="S168" s="127"/>
      <c r="T168" s="127"/>
      <c r="U168" s="127"/>
      <c r="V168" s="127"/>
      <c r="W168" s="127"/>
      <c r="X168" s="127"/>
      <c r="Y168" s="127"/>
      <c r="Z168" s="127"/>
      <c r="AA168" s="127"/>
      <c r="AB168" s="127"/>
      <c r="AC168" s="127"/>
      <c r="AD168" s="258"/>
    </row>
    <row r="169" spans="2:30" ht="20.100000000000001" customHeight="1">
      <c r="B169" s="108">
        <v>166</v>
      </c>
      <c r="C169" s="256"/>
      <c r="D169" s="204" t="s">
        <v>239</v>
      </c>
      <c r="E169" s="204" t="s">
        <v>120</v>
      </c>
      <c r="F169" s="204" t="s">
        <v>240</v>
      </c>
      <c r="G169" s="205">
        <v>28</v>
      </c>
      <c r="H169" s="205">
        <v>26</v>
      </c>
      <c r="I169" s="206">
        <f>H169/G169</f>
        <v>0.9285714285714286</v>
      </c>
      <c r="J169" s="207" t="str">
        <f t="shared" si="7"/>
        <v>수료</v>
      </c>
      <c r="L169" s="128"/>
      <c r="M169" s="128"/>
      <c r="N169" s="127"/>
      <c r="O169" s="127"/>
      <c r="P169" s="127"/>
      <c r="Q169" s="127"/>
      <c r="R169" s="127"/>
      <c r="S169" s="127"/>
      <c r="T169" s="127"/>
      <c r="U169" s="127"/>
      <c r="V169" s="127"/>
      <c r="W169" s="127"/>
      <c r="X169" s="127"/>
      <c r="Y169" s="127"/>
      <c r="Z169" s="127"/>
      <c r="AA169" s="127"/>
      <c r="AB169" s="127"/>
      <c r="AC169" s="127"/>
      <c r="AD169" s="258"/>
    </row>
    <row r="170" spans="2:30" ht="20.100000000000001" customHeight="1">
      <c r="B170" s="108">
        <v>167</v>
      </c>
      <c r="C170" s="256"/>
      <c r="D170" s="204" t="s">
        <v>210</v>
      </c>
      <c r="E170" s="204" t="s">
        <v>120</v>
      </c>
      <c r="F170" s="204" t="s">
        <v>211</v>
      </c>
      <c r="G170" s="205">
        <v>28</v>
      </c>
      <c r="H170" s="205">
        <v>23</v>
      </c>
      <c r="I170" s="206">
        <f t="shared" si="6"/>
        <v>0.8214285714285714</v>
      </c>
      <c r="J170" s="207" t="str">
        <f t="shared" si="7"/>
        <v>수료</v>
      </c>
      <c r="K170" s="197"/>
      <c r="L170" s="88"/>
      <c r="M170" s="88"/>
      <c r="N170" s="88"/>
      <c r="O170" s="88"/>
      <c r="P170" s="88"/>
      <c r="Q170" s="88"/>
      <c r="R170" s="88"/>
      <c r="S170" s="88"/>
      <c r="T170" s="88"/>
      <c r="U170" s="88"/>
      <c r="V170" s="88"/>
      <c r="W170" s="88"/>
      <c r="X170" s="88"/>
      <c r="Y170" s="88"/>
      <c r="Z170" s="88"/>
      <c r="AA170" s="88"/>
      <c r="AB170" s="88"/>
      <c r="AC170" s="88"/>
      <c r="AD170" s="258"/>
    </row>
    <row r="171" spans="2:30" ht="20.100000000000001" customHeight="1">
      <c r="B171" s="108">
        <v>168</v>
      </c>
      <c r="C171" s="256" t="s">
        <v>249</v>
      </c>
      <c r="D171" s="204" t="s">
        <v>214</v>
      </c>
      <c r="E171" s="204" t="s">
        <v>120</v>
      </c>
      <c r="F171" s="204" t="s">
        <v>215</v>
      </c>
      <c r="G171" s="205">
        <v>28</v>
      </c>
      <c r="H171" s="205">
        <v>28</v>
      </c>
      <c r="I171" s="206">
        <f t="shared" si="6"/>
        <v>1</v>
      </c>
      <c r="J171" s="207" t="str">
        <f t="shared" si="7"/>
        <v>수료</v>
      </c>
      <c r="K171" s="197"/>
      <c r="L171" s="88"/>
      <c r="M171" s="88"/>
      <c r="N171" s="88"/>
      <c r="O171" s="88"/>
      <c r="P171" s="88"/>
      <c r="Q171" s="88"/>
      <c r="R171" s="88"/>
      <c r="S171" s="88"/>
      <c r="T171" s="88"/>
      <c r="U171" s="88"/>
      <c r="V171" s="88"/>
      <c r="W171" s="88"/>
      <c r="X171" s="88"/>
      <c r="Y171" s="88"/>
      <c r="Z171" s="88"/>
      <c r="AA171" s="88"/>
      <c r="AB171" s="88"/>
      <c r="AC171" s="88"/>
      <c r="AD171" s="258"/>
    </row>
    <row r="172" spans="2:30" ht="20.100000000000001" customHeight="1">
      <c r="B172" s="108">
        <v>169</v>
      </c>
      <c r="C172" s="256"/>
      <c r="D172" s="204" t="s">
        <v>216</v>
      </c>
      <c r="E172" s="204" t="s">
        <v>120</v>
      </c>
      <c r="F172" s="204" t="s">
        <v>121</v>
      </c>
      <c r="G172" s="205">
        <v>28</v>
      </c>
      <c r="H172" s="205">
        <v>24</v>
      </c>
      <c r="I172" s="206">
        <f t="shared" si="6"/>
        <v>0.8571428571428571</v>
      </c>
      <c r="J172" s="207" t="str">
        <f t="shared" si="7"/>
        <v>수료</v>
      </c>
      <c r="K172" s="197"/>
      <c r="L172" s="88"/>
      <c r="M172" s="88"/>
      <c r="N172" s="88"/>
      <c r="O172" s="88"/>
      <c r="P172" s="88"/>
      <c r="Q172" s="88"/>
      <c r="R172" s="88"/>
      <c r="S172" s="88"/>
      <c r="T172" s="88"/>
      <c r="U172" s="88"/>
      <c r="V172" s="88"/>
      <c r="W172" s="88"/>
      <c r="X172" s="88"/>
      <c r="Y172" s="88"/>
      <c r="Z172" s="88"/>
      <c r="AA172" s="88"/>
      <c r="AB172" s="88"/>
      <c r="AC172" s="88"/>
      <c r="AD172" s="258"/>
    </row>
    <row r="173" spans="2:30" ht="20.100000000000001" customHeight="1">
      <c r="B173" s="108">
        <v>170</v>
      </c>
      <c r="C173" s="256"/>
      <c r="D173" s="204" t="s">
        <v>653</v>
      </c>
      <c r="E173" s="204" t="s">
        <v>120</v>
      </c>
      <c r="F173" s="204" t="s">
        <v>658</v>
      </c>
      <c r="G173" s="205">
        <v>28</v>
      </c>
      <c r="H173" s="205">
        <v>28</v>
      </c>
      <c r="I173" s="206">
        <f t="shared" si="6"/>
        <v>1</v>
      </c>
      <c r="J173" s="207" t="str">
        <f t="shared" si="7"/>
        <v>수료</v>
      </c>
      <c r="K173" s="197"/>
      <c r="L173" s="88"/>
      <c r="M173" s="88"/>
      <c r="N173" s="88"/>
      <c r="O173" s="88"/>
      <c r="P173" s="88"/>
      <c r="Q173" s="88"/>
      <c r="R173" s="88"/>
      <c r="S173" s="88"/>
      <c r="T173" s="88"/>
      <c r="U173" s="88"/>
      <c r="V173" s="88"/>
      <c r="W173" s="88"/>
      <c r="X173" s="88"/>
      <c r="Y173" s="88"/>
      <c r="Z173" s="88"/>
      <c r="AA173" s="88"/>
      <c r="AB173" s="88"/>
      <c r="AC173" s="88"/>
      <c r="AD173" s="258"/>
    </row>
    <row r="174" spans="2:30" ht="20.100000000000001" customHeight="1">
      <c r="B174" s="108">
        <v>171</v>
      </c>
      <c r="C174" s="256"/>
      <c r="D174" s="204" t="s">
        <v>217</v>
      </c>
      <c r="E174" s="204" t="s">
        <v>120</v>
      </c>
      <c r="F174" s="204" t="s">
        <v>218</v>
      </c>
      <c r="G174" s="205">
        <v>28</v>
      </c>
      <c r="H174" s="205">
        <v>28</v>
      </c>
      <c r="I174" s="206">
        <f t="shared" si="6"/>
        <v>1</v>
      </c>
      <c r="J174" s="207" t="str">
        <f t="shared" si="7"/>
        <v>수료</v>
      </c>
      <c r="K174" s="197"/>
      <c r="L174" s="88"/>
      <c r="M174" s="88"/>
      <c r="N174" s="88"/>
      <c r="O174" s="88"/>
      <c r="P174" s="88"/>
      <c r="Q174" s="88"/>
      <c r="R174" s="88"/>
      <c r="S174" s="88"/>
      <c r="T174" s="88"/>
      <c r="U174" s="88"/>
      <c r="V174" s="88"/>
      <c r="W174" s="88"/>
      <c r="X174" s="88"/>
      <c r="Y174" s="88"/>
      <c r="Z174" s="88"/>
      <c r="AA174" s="88"/>
      <c r="AB174" s="88"/>
      <c r="AC174" s="88"/>
      <c r="AD174" s="258"/>
    </row>
    <row r="175" spans="2:30" ht="20.100000000000001" customHeight="1">
      <c r="B175" s="108">
        <v>172</v>
      </c>
      <c r="C175" s="256"/>
      <c r="D175" s="204" t="s">
        <v>181</v>
      </c>
      <c r="E175" s="204" t="s">
        <v>120</v>
      </c>
      <c r="F175" s="204" t="s">
        <v>182</v>
      </c>
      <c r="G175" s="205">
        <v>28</v>
      </c>
      <c r="H175" s="205">
        <v>13</v>
      </c>
      <c r="I175" s="206">
        <f t="shared" si="6"/>
        <v>0.4642857142857143</v>
      </c>
      <c r="J175" s="207" t="str">
        <f t="shared" si="7"/>
        <v>미수료</v>
      </c>
      <c r="K175" s="197"/>
      <c r="L175" s="88"/>
      <c r="M175" s="88"/>
      <c r="N175" s="88"/>
      <c r="O175" s="88"/>
      <c r="P175" s="88"/>
      <c r="Q175" s="88"/>
      <c r="R175" s="88"/>
      <c r="S175" s="88"/>
      <c r="T175" s="88"/>
      <c r="U175" s="88"/>
      <c r="V175" s="88"/>
      <c r="W175" s="88"/>
      <c r="X175" s="88"/>
      <c r="Y175" s="88"/>
      <c r="Z175" s="88"/>
      <c r="AA175" s="88"/>
      <c r="AB175" s="88"/>
      <c r="AC175" s="88"/>
      <c r="AD175" s="258"/>
    </row>
    <row r="176" spans="2:30" ht="20.100000000000001" customHeight="1">
      <c r="B176" s="108">
        <v>173</v>
      </c>
      <c r="C176" s="256"/>
      <c r="D176" s="204" t="s">
        <v>639</v>
      </c>
      <c r="E176" s="204" t="s">
        <v>120</v>
      </c>
      <c r="F176" s="204" t="s">
        <v>299</v>
      </c>
      <c r="G176" s="205">
        <v>28</v>
      </c>
      <c r="H176" s="205">
        <v>9</v>
      </c>
      <c r="I176" s="206">
        <f t="shared" si="6"/>
        <v>0.32142857142857145</v>
      </c>
      <c r="J176" s="207" t="str">
        <f t="shared" si="7"/>
        <v>미수료</v>
      </c>
      <c r="K176" s="197"/>
      <c r="L176" s="88"/>
      <c r="M176" s="88"/>
      <c r="N176" s="88"/>
      <c r="O176" s="88"/>
      <c r="P176" s="88"/>
      <c r="Q176" s="88"/>
      <c r="R176" s="88"/>
      <c r="S176" s="88"/>
      <c r="T176" s="88"/>
      <c r="U176" s="88"/>
      <c r="V176" s="88"/>
      <c r="W176" s="88"/>
      <c r="X176" s="88"/>
      <c r="Y176" s="88"/>
      <c r="Z176" s="88"/>
      <c r="AA176" s="88"/>
      <c r="AB176" s="88"/>
      <c r="AC176" s="88"/>
      <c r="AD176" s="258"/>
    </row>
    <row r="177" spans="2:30" ht="20.100000000000001" customHeight="1">
      <c r="B177" s="108">
        <v>174</v>
      </c>
      <c r="C177" s="256"/>
      <c r="D177" s="204" t="s">
        <v>654</v>
      </c>
      <c r="E177" s="204" t="s">
        <v>120</v>
      </c>
      <c r="F177" s="204" t="s">
        <v>659</v>
      </c>
      <c r="G177" s="205">
        <v>28</v>
      </c>
      <c r="H177" s="205">
        <v>25</v>
      </c>
      <c r="I177" s="206">
        <f t="shared" si="6"/>
        <v>0.8928571428571429</v>
      </c>
      <c r="J177" s="207" t="str">
        <f t="shared" si="7"/>
        <v>수료</v>
      </c>
      <c r="K177" s="197"/>
      <c r="L177" s="88"/>
      <c r="M177" s="88"/>
      <c r="N177" s="88"/>
      <c r="O177" s="88"/>
      <c r="P177" s="88"/>
      <c r="Q177" s="88"/>
      <c r="R177" s="88"/>
      <c r="S177" s="88"/>
      <c r="T177" s="88"/>
      <c r="U177" s="88"/>
      <c r="V177" s="88"/>
      <c r="W177" s="88"/>
      <c r="X177" s="88"/>
      <c r="Y177" s="88"/>
      <c r="Z177" s="88"/>
      <c r="AA177" s="88"/>
      <c r="AB177" s="88"/>
      <c r="AC177" s="88"/>
      <c r="AD177" s="258"/>
    </row>
    <row r="178" spans="2:30" ht="20.100000000000001" customHeight="1">
      <c r="B178" s="108">
        <v>175</v>
      </c>
      <c r="C178" s="256"/>
      <c r="D178" s="204" t="s">
        <v>219</v>
      </c>
      <c r="E178" s="204" t="s">
        <v>120</v>
      </c>
      <c r="F178" s="204" t="s">
        <v>220</v>
      </c>
      <c r="G178" s="205">
        <v>28</v>
      </c>
      <c r="H178" s="205">
        <v>28</v>
      </c>
      <c r="I178" s="206">
        <f t="shared" si="6"/>
        <v>1</v>
      </c>
      <c r="J178" s="207" t="str">
        <f t="shared" si="7"/>
        <v>수료</v>
      </c>
      <c r="K178" s="197"/>
      <c r="L178" s="88"/>
      <c r="M178" s="88"/>
      <c r="N178" s="88"/>
      <c r="O178" s="88"/>
      <c r="P178" s="88"/>
      <c r="Q178" s="88"/>
      <c r="R178" s="88"/>
      <c r="S178" s="88"/>
      <c r="T178" s="88"/>
      <c r="U178" s="88"/>
      <c r="V178" s="88"/>
      <c r="W178" s="88"/>
      <c r="X178" s="88"/>
      <c r="Y178" s="88"/>
      <c r="Z178" s="88"/>
      <c r="AA178" s="88"/>
      <c r="AB178" s="88"/>
      <c r="AC178" s="88"/>
      <c r="AD178" s="258"/>
    </row>
    <row r="179" spans="2:30" ht="20.100000000000001" customHeight="1">
      <c r="B179" s="108">
        <v>176</v>
      </c>
      <c r="C179" s="256"/>
      <c r="D179" s="204" t="s">
        <v>266</v>
      </c>
      <c r="E179" s="204" t="s">
        <v>120</v>
      </c>
      <c r="F179" s="204" t="s">
        <v>269</v>
      </c>
      <c r="G179" s="205">
        <v>28</v>
      </c>
      <c r="H179" s="205">
        <v>9</v>
      </c>
      <c r="I179" s="206">
        <f t="shared" si="6"/>
        <v>0.32142857142857145</v>
      </c>
      <c r="J179" s="207" t="str">
        <f t="shared" si="7"/>
        <v>미수료</v>
      </c>
      <c r="K179" s="197"/>
      <c r="L179" s="88"/>
      <c r="N179" s="88"/>
      <c r="O179" s="88"/>
      <c r="P179" s="88"/>
      <c r="Q179" s="88"/>
      <c r="R179" s="88"/>
      <c r="S179" s="88"/>
      <c r="T179" s="88"/>
      <c r="U179" s="88"/>
      <c r="V179" s="88"/>
      <c r="W179" s="88"/>
      <c r="X179" s="88"/>
      <c r="Y179" s="88"/>
      <c r="Z179" s="88"/>
      <c r="AA179" s="88"/>
      <c r="AB179" s="88"/>
      <c r="AC179" s="88"/>
      <c r="AD179" s="258"/>
    </row>
    <row r="180" spans="2:30" ht="20.100000000000001" customHeight="1">
      <c r="B180" s="108">
        <v>177</v>
      </c>
      <c r="C180" s="256"/>
      <c r="D180" s="204" t="s">
        <v>655</v>
      </c>
      <c r="E180" s="204" t="s">
        <v>120</v>
      </c>
      <c r="F180" s="204" t="s">
        <v>660</v>
      </c>
      <c r="G180" s="205">
        <v>28</v>
      </c>
      <c r="H180" s="205">
        <v>3</v>
      </c>
      <c r="I180" s="206">
        <f t="shared" si="6"/>
        <v>0.10714285714285714</v>
      </c>
      <c r="J180" s="207" t="str">
        <f t="shared" si="7"/>
        <v>미수료</v>
      </c>
      <c r="K180" s="197"/>
      <c r="L180" s="88"/>
      <c r="M180" s="88"/>
      <c r="N180" s="88"/>
      <c r="O180" s="88"/>
      <c r="P180" s="88"/>
      <c r="Q180" s="88"/>
      <c r="R180" s="88"/>
      <c r="S180" s="88"/>
      <c r="T180" s="88"/>
      <c r="U180" s="88"/>
      <c r="V180" s="88"/>
      <c r="W180" s="88"/>
      <c r="X180" s="88"/>
      <c r="Y180" s="88"/>
      <c r="Z180" s="88"/>
      <c r="AA180" s="88"/>
      <c r="AB180" s="88"/>
      <c r="AC180" s="88"/>
      <c r="AD180" s="258"/>
    </row>
    <row r="181" spans="2:30" ht="20.100000000000001" customHeight="1">
      <c r="B181" s="108">
        <v>178</v>
      </c>
      <c r="C181" s="256"/>
      <c r="D181" s="204" t="s">
        <v>221</v>
      </c>
      <c r="E181" s="204" t="s">
        <v>120</v>
      </c>
      <c r="F181" s="204" t="s">
        <v>222</v>
      </c>
      <c r="G181" s="205">
        <v>28</v>
      </c>
      <c r="H181" s="205">
        <v>21</v>
      </c>
      <c r="I181" s="206">
        <f t="shared" si="6"/>
        <v>0.75</v>
      </c>
      <c r="J181" s="207" t="str">
        <f t="shared" si="7"/>
        <v>수료</v>
      </c>
      <c r="K181" s="197"/>
      <c r="L181" s="88"/>
      <c r="M181" s="88"/>
      <c r="N181" s="88"/>
      <c r="O181" s="88"/>
      <c r="P181" s="88"/>
      <c r="Q181" s="88"/>
      <c r="R181" s="88"/>
      <c r="S181" s="88"/>
      <c r="T181" s="88"/>
      <c r="U181" s="88"/>
      <c r="V181" s="88"/>
      <c r="W181" s="88"/>
      <c r="X181" s="88"/>
      <c r="Y181" s="88"/>
      <c r="Z181" s="88"/>
      <c r="AA181" s="88"/>
      <c r="AB181" s="88"/>
      <c r="AD181" s="258"/>
    </row>
    <row r="182" spans="2:30" ht="20.100000000000001" customHeight="1">
      <c r="B182" s="108">
        <v>179</v>
      </c>
      <c r="C182" s="256"/>
      <c r="D182" s="204" t="s">
        <v>203</v>
      </c>
      <c r="E182" s="204" t="s">
        <v>120</v>
      </c>
      <c r="F182" s="204" t="s">
        <v>204</v>
      </c>
      <c r="G182" s="205">
        <v>28</v>
      </c>
      <c r="H182" s="205">
        <v>28</v>
      </c>
      <c r="I182" s="206">
        <f t="shared" si="6"/>
        <v>1</v>
      </c>
      <c r="J182" s="207" t="str">
        <f t="shared" si="7"/>
        <v>수료</v>
      </c>
      <c r="K182" s="197"/>
      <c r="L182" s="88"/>
      <c r="M182" s="88"/>
      <c r="N182" s="88"/>
      <c r="O182" s="88"/>
      <c r="P182" s="88"/>
      <c r="Q182" s="88"/>
      <c r="R182" s="88"/>
      <c r="S182" s="88"/>
      <c r="T182" s="88"/>
      <c r="U182" s="88"/>
      <c r="V182" s="88"/>
      <c r="W182" s="88"/>
      <c r="X182" s="88"/>
      <c r="Y182" s="88"/>
      <c r="Z182" s="88"/>
      <c r="AA182" s="88"/>
      <c r="AB182" s="88"/>
      <c r="AC182" s="88"/>
      <c r="AD182" s="258"/>
    </row>
    <row r="183" spans="2:30" ht="20.100000000000001" customHeight="1">
      <c r="B183" s="108">
        <v>180</v>
      </c>
      <c r="C183" s="256"/>
      <c r="D183" s="204" t="s">
        <v>206</v>
      </c>
      <c r="E183" s="204" t="s">
        <v>120</v>
      </c>
      <c r="F183" s="204" t="s">
        <v>207</v>
      </c>
      <c r="G183" s="205">
        <v>28</v>
      </c>
      <c r="H183" s="205">
        <v>28</v>
      </c>
      <c r="I183" s="206">
        <f t="shared" si="6"/>
        <v>1</v>
      </c>
      <c r="J183" s="207" t="str">
        <f t="shared" si="7"/>
        <v>수료</v>
      </c>
      <c r="K183" s="197"/>
      <c r="L183" s="88"/>
      <c r="M183" s="88"/>
      <c r="N183" s="88"/>
      <c r="O183" s="88"/>
      <c r="P183" s="88"/>
      <c r="Q183" s="88"/>
      <c r="R183" s="88"/>
      <c r="S183" s="88"/>
      <c r="T183" s="88"/>
      <c r="U183" s="88"/>
      <c r="V183" s="88"/>
      <c r="W183" s="88"/>
      <c r="X183" s="88"/>
      <c r="Y183" s="88"/>
      <c r="Z183" s="88"/>
      <c r="AA183" s="88"/>
      <c r="AB183" s="88"/>
      <c r="AC183" s="88"/>
      <c r="AD183" s="258"/>
    </row>
    <row r="184" spans="2:30" ht="20.100000000000001" customHeight="1">
      <c r="B184" s="108">
        <v>181</v>
      </c>
      <c r="C184" s="256"/>
      <c r="D184" s="204" t="s">
        <v>656</v>
      </c>
      <c r="E184" s="204" t="s">
        <v>120</v>
      </c>
      <c r="F184" s="204" t="s">
        <v>661</v>
      </c>
      <c r="G184" s="205">
        <v>28</v>
      </c>
      <c r="H184" s="205">
        <v>27</v>
      </c>
      <c r="I184" s="206">
        <f t="shared" si="6"/>
        <v>0.9642857142857143</v>
      </c>
      <c r="J184" s="207" t="str">
        <f t="shared" si="7"/>
        <v>수료</v>
      </c>
      <c r="K184" s="197"/>
      <c r="L184" s="88"/>
      <c r="M184" s="88"/>
      <c r="N184" s="88"/>
      <c r="O184" s="88"/>
      <c r="P184" s="88"/>
      <c r="Q184" s="88"/>
      <c r="R184" s="88"/>
      <c r="S184" s="88"/>
      <c r="T184" s="88"/>
      <c r="U184" s="88"/>
      <c r="V184" s="88"/>
      <c r="W184" s="88"/>
      <c r="X184" s="88"/>
      <c r="Y184" s="88"/>
      <c r="Z184" s="88"/>
      <c r="AA184" s="88"/>
      <c r="AB184" s="88"/>
      <c r="AC184" s="88"/>
      <c r="AD184" s="258"/>
    </row>
    <row r="185" spans="2:30" ht="20.100000000000001" customHeight="1">
      <c r="B185" s="108">
        <v>182</v>
      </c>
      <c r="C185" s="256"/>
      <c r="D185" s="204" t="s">
        <v>127</v>
      </c>
      <c r="E185" s="204" t="s">
        <v>120</v>
      </c>
      <c r="F185" s="204" t="s">
        <v>128</v>
      </c>
      <c r="G185" s="205">
        <v>28</v>
      </c>
      <c r="H185" s="205">
        <v>28</v>
      </c>
      <c r="I185" s="206">
        <f>H185/G185</f>
        <v>1</v>
      </c>
      <c r="J185" s="207" t="str">
        <f t="shared" si="7"/>
        <v>수료</v>
      </c>
      <c r="K185" s="197"/>
      <c r="L185" s="127"/>
      <c r="M185" s="127"/>
      <c r="N185" s="127"/>
      <c r="O185" s="127"/>
      <c r="P185" s="127"/>
      <c r="Q185" s="127"/>
      <c r="R185" s="127"/>
      <c r="S185" s="127"/>
      <c r="T185" s="127"/>
      <c r="U185" s="127"/>
      <c r="V185" s="127"/>
      <c r="W185" s="127"/>
      <c r="X185" s="127"/>
      <c r="Y185" s="127"/>
      <c r="Z185" s="127"/>
      <c r="AA185" s="127"/>
      <c r="AB185" s="127"/>
      <c r="AC185" s="127"/>
      <c r="AD185" s="258"/>
    </row>
    <row r="186" spans="2:30" ht="20.100000000000001" customHeight="1">
      <c r="B186" s="108">
        <v>183</v>
      </c>
      <c r="C186" s="256"/>
      <c r="D186" s="204" t="s">
        <v>208</v>
      </c>
      <c r="E186" s="204" t="s">
        <v>120</v>
      </c>
      <c r="F186" s="204" t="s">
        <v>209</v>
      </c>
      <c r="G186" s="205">
        <v>28</v>
      </c>
      <c r="H186" s="205">
        <v>27</v>
      </c>
      <c r="I186" s="206">
        <f t="shared" si="6"/>
        <v>0.9642857142857143</v>
      </c>
      <c r="J186" s="207" t="str">
        <f t="shared" si="7"/>
        <v>수료</v>
      </c>
      <c r="K186" s="197"/>
      <c r="L186" s="88"/>
      <c r="M186" s="88"/>
      <c r="N186" s="88"/>
      <c r="O186" s="88"/>
      <c r="P186" s="88"/>
      <c r="Q186" s="88"/>
      <c r="R186" s="88"/>
      <c r="S186" s="88"/>
      <c r="T186" s="88"/>
      <c r="U186" s="88"/>
      <c r="V186" s="88"/>
      <c r="W186" s="88"/>
      <c r="X186" s="88"/>
      <c r="Y186" s="88"/>
      <c r="Z186" s="88"/>
      <c r="AA186" s="88"/>
      <c r="AB186" s="88"/>
      <c r="AC186" s="88"/>
      <c r="AD186" s="258"/>
    </row>
    <row r="187" spans="2:30" ht="20.100000000000001" customHeight="1">
      <c r="B187" s="108">
        <v>184</v>
      </c>
      <c r="C187" s="256"/>
      <c r="D187" s="204" t="s">
        <v>210</v>
      </c>
      <c r="E187" s="204" t="s">
        <v>120</v>
      </c>
      <c r="F187" s="204" t="s">
        <v>211</v>
      </c>
      <c r="G187" s="205">
        <v>28</v>
      </c>
      <c r="H187" s="205">
        <v>28</v>
      </c>
      <c r="I187" s="206">
        <f t="shared" si="6"/>
        <v>1</v>
      </c>
      <c r="J187" s="207" t="str">
        <f t="shared" si="7"/>
        <v>수료</v>
      </c>
      <c r="K187" s="197"/>
      <c r="L187" s="88"/>
      <c r="M187" s="88"/>
      <c r="N187" s="88"/>
      <c r="O187" s="88"/>
      <c r="P187" s="88"/>
      <c r="Q187" s="88"/>
      <c r="R187" s="88"/>
      <c r="S187" s="88"/>
      <c r="T187" s="88"/>
      <c r="U187" s="88"/>
      <c r="V187" s="88"/>
      <c r="W187" s="88"/>
      <c r="X187" s="88"/>
      <c r="Y187" s="88"/>
      <c r="Z187" s="88"/>
      <c r="AA187" s="88"/>
      <c r="AB187" s="88"/>
      <c r="AC187" s="88"/>
      <c r="AD187" s="258"/>
    </row>
    <row r="188" spans="2:30" ht="20.100000000000001" customHeight="1">
      <c r="B188" s="108">
        <v>185</v>
      </c>
      <c r="C188" s="256"/>
      <c r="D188" s="204" t="s">
        <v>657</v>
      </c>
      <c r="E188" s="204" t="s">
        <v>120</v>
      </c>
      <c r="F188" s="204" t="s">
        <v>662</v>
      </c>
      <c r="G188" s="205">
        <v>28</v>
      </c>
      <c r="H188" s="205">
        <v>27</v>
      </c>
      <c r="I188" s="206">
        <f>H188/G188</f>
        <v>0.9642857142857143</v>
      </c>
      <c r="J188" s="207" t="str">
        <f t="shared" si="7"/>
        <v>수료</v>
      </c>
      <c r="K188" s="197"/>
      <c r="L188" s="88"/>
      <c r="M188" s="88"/>
      <c r="N188" s="88"/>
      <c r="O188" s="88"/>
      <c r="P188" s="88"/>
      <c r="Q188" s="88"/>
      <c r="R188" s="88"/>
      <c r="S188" s="88"/>
      <c r="T188" s="88"/>
      <c r="U188" s="88"/>
      <c r="V188" s="88"/>
      <c r="W188" s="88"/>
      <c r="X188" s="88"/>
      <c r="Y188" s="88"/>
      <c r="Z188" s="88"/>
      <c r="AA188" s="88"/>
      <c r="AB188" s="88"/>
      <c r="AC188" s="88"/>
      <c r="AD188" s="258"/>
    </row>
    <row r="189" spans="2:30" ht="20.100000000000001" customHeight="1">
      <c r="B189" s="108">
        <v>186</v>
      </c>
      <c r="C189" s="256" t="s">
        <v>469</v>
      </c>
      <c r="D189" s="204" t="s">
        <v>291</v>
      </c>
      <c r="E189" s="204" t="s">
        <v>120</v>
      </c>
      <c r="F189" s="204" t="s">
        <v>293</v>
      </c>
      <c r="G189" s="205">
        <v>28</v>
      </c>
      <c r="H189" s="205">
        <v>25</v>
      </c>
      <c r="I189" s="206">
        <f>H189/G189</f>
        <v>0.8928571428571429</v>
      </c>
      <c r="J189" s="207" t="str">
        <f t="shared" si="7"/>
        <v>수료</v>
      </c>
      <c r="K189" s="197"/>
      <c r="L189" s="88"/>
      <c r="M189" s="88"/>
      <c r="N189" s="88"/>
      <c r="O189" s="88"/>
      <c r="P189" s="88"/>
      <c r="Q189" s="88"/>
      <c r="R189" s="88"/>
      <c r="S189" s="88"/>
      <c r="T189" s="88"/>
      <c r="U189" s="88"/>
      <c r="V189" s="88"/>
      <c r="W189" s="88"/>
      <c r="X189" s="88"/>
      <c r="Y189" s="88"/>
      <c r="Z189" s="88"/>
      <c r="AA189" s="88"/>
      <c r="AB189" s="88"/>
      <c r="AC189" s="88"/>
      <c r="AD189" s="258"/>
    </row>
    <row r="190" spans="2:30" ht="20.100000000000001" customHeight="1">
      <c r="B190" s="108">
        <v>187</v>
      </c>
      <c r="C190" s="256"/>
      <c r="D190" s="204" t="s">
        <v>663</v>
      </c>
      <c r="E190" s="204" t="s">
        <v>120</v>
      </c>
      <c r="F190" s="204" t="s">
        <v>667</v>
      </c>
      <c r="G190" s="205">
        <v>28</v>
      </c>
      <c r="H190" s="205">
        <v>26</v>
      </c>
      <c r="I190" s="206">
        <f>H190/G190</f>
        <v>0.9285714285714286</v>
      </c>
      <c r="J190" s="207" t="str">
        <f t="shared" si="7"/>
        <v>수료</v>
      </c>
      <c r="K190" s="197"/>
      <c r="L190" s="88"/>
      <c r="M190" s="88"/>
      <c r="N190" s="88"/>
      <c r="O190" s="88"/>
      <c r="P190" s="88"/>
      <c r="Q190" s="88"/>
      <c r="R190" s="88"/>
      <c r="S190" s="88"/>
      <c r="T190" s="88"/>
      <c r="U190" s="88"/>
      <c r="V190" s="88"/>
      <c r="W190" s="88"/>
      <c r="X190" s="88"/>
      <c r="Y190" s="88"/>
      <c r="Z190" s="88"/>
      <c r="AA190" s="88"/>
      <c r="AB190" s="88"/>
      <c r="AC190" s="88"/>
      <c r="AD190" s="258"/>
    </row>
    <row r="191" spans="2:30" ht="20.100000000000001" customHeight="1">
      <c r="B191" s="108">
        <v>188</v>
      </c>
      <c r="C191" s="256"/>
      <c r="D191" s="204" t="s">
        <v>176</v>
      </c>
      <c r="E191" s="204" t="s">
        <v>120</v>
      </c>
      <c r="F191" s="204" t="s">
        <v>196</v>
      </c>
      <c r="G191" s="205">
        <v>28</v>
      </c>
      <c r="H191" s="205">
        <v>26</v>
      </c>
      <c r="I191" s="206">
        <f>H191/G191</f>
        <v>0.9285714285714286</v>
      </c>
      <c r="J191" s="207" t="str">
        <f t="shared" si="7"/>
        <v>수료</v>
      </c>
      <c r="K191" s="197"/>
      <c r="L191" s="88"/>
      <c r="M191" s="88"/>
      <c r="N191" s="88"/>
      <c r="O191" s="88"/>
      <c r="P191" s="88"/>
      <c r="Q191" s="88"/>
      <c r="R191" s="88"/>
      <c r="S191" s="88"/>
      <c r="T191" s="88"/>
      <c r="U191" s="88"/>
      <c r="V191" s="88"/>
      <c r="W191" s="88"/>
      <c r="X191" s="88"/>
      <c r="Y191" s="88"/>
      <c r="Z191" s="88"/>
      <c r="AA191" s="88"/>
      <c r="AB191" s="88"/>
      <c r="AC191" s="88"/>
      <c r="AD191" s="258"/>
    </row>
    <row r="192" spans="2:30" ht="20.100000000000001" customHeight="1">
      <c r="B192" s="108">
        <v>189</v>
      </c>
      <c r="C192" s="256"/>
      <c r="D192" s="204" t="s">
        <v>552</v>
      </c>
      <c r="E192" s="204" t="s">
        <v>120</v>
      </c>
      <c r="F192" s="204" t="s">
        <v>566</v>
      </c>
      <c r="G192" s="205">
        <v>28</v>
      </c>
      <c r="H192" s="205">
        <v>18</v>
      </c>
      <c r="I192" s="206">
        <f t="shared" ref="I192:I235" si="8">H192/G192</f>
        <v>0.6428571428571429</v>
      </c>
      <c r="J192" s="207" t="str">
        <f t="shared" si="7"/>
        <v>미수료</v>
      </c>
      <c r="K192" s="197"/>
      <c r="L192" s="88"/>
      <c r="N192" s="88"/>
      <c r="O192" s="88"/>
      <c r="P192" s="88"/>
      <c r="Q192" s="88"/>
      <c r="R192" s="88"/>
      <c r="S192" s="88"/>
      <c r="T192" s="88"/>
      <c r="U192" s="88"/>
      <c r="V192" s="88"/>
      <c r="W192" s="88"/>
      <c r="X192" s="88"/>
      <c r="Y192" s="88"/>
      <c r="Z192" s="88"/>
      <c r="AA192" s="88"/>
      <c r="AB192" s="88"/>
      <c r="AC192" s="88"/>
      <c r="AD192" s="258"/>
    </row>
    <row r="193" spans="2:30" ht="20.100000000000001" customHeight="1">
      <c r="B193" s="108">
        <v>190</v>
      </c>
      <c r="C193" s="256"/>
      <c r="D193" s="204" t="s">
        <v>273</v>
      </c>
      <c r="E193" s="204" t="s">
        <v>120</v>
      </c>
      <c r="F193" s="204" t="s">
        <v>283</v>
      </c>
      <c r="G193" s="205">
        <v>28</v>
      </c>
      <c r="H193" s="205">
        <v>28</v>
      </c>
      <c r="I193" s="206">
        <f t="shared" si="8"/>
        <v>1</v>
      </c>
      <c r="J193" s="207" t="str">
        <f t="shared" si="7"/>
        <v>수료</v>
      </c>
      <c r="K193" s="197"/>
      <c r="L193" s="88"/>
      <c r="M193" s="88"/>
      <c r="N193" s="88"/>
      <c r="O193" s="88"/>
      <c r="P193" s="88"/>
      <c r="Q193" s="88"/>
      <c r="R193" s="88"/>
      <c r="S193" s="88"/>
      <c r="T193" s="88"/>
      <c r="U193" s="88"/>
      <c r="V193" s="88"/>
      <c r="W193" s="88"/>
      <c r="X193" s="88"/>
      <c r="Y193" s="88"/>
      <c r="Z193" s="88"/>
      <c r="AA193" s="88"/>
      <c r="AB193" s="88"/>
      <c r="AC193" s="88"/>
      <c r="AD193" s="258"/>
    </row>
    <row r="194" spans="2:30" ht="20.100000000000001" customHeight="1">
      <c r="B194" s="108">
        <v>191</v>
      </c>
      <c r="C194" s="256"/>
      <c r="D194" s="204" t="s">
        <v>223</v>
      </c>
      <c r="E194" s="204" t="s">
        <v>120</v>
      </c>
      <c r="F194" s="204" t="s">
        <v>224</v>
      </c>
      <c r="G194" s="205">
        <v>28</v>
      </c>
      <c r="H194" s="205">
        <v>28</v>
      </c>
      <c r="I194" s="206">
        <f t="shared" si="8"/>
        <v>1</v>
      </c>
      <c r="J194" s="207" t="str">
        <f t="shared" si="7"/>
        <v>수료</v>
      </c>
      <c r="K194" s="197"/>
      <c r="L194" s="88"/>
      <c r="M194" s="88"/>
      <c r="N194" s="88"/>
      <c r="O194" s="88"/>
      <c r="P194" s="88"/>
      <c r="Q194" s="88"/>
      <c r="R194" s="88"/>
      <c r="S194" s="88"/>
      <c r="T194" s="88"/>
      <c r="U194" s="88"/>
      <c r="V194" s="88"/>
      <c r="W194" s="88"/>
      <c r="X194" s="88"/>
      <c r="Y194" s="88"/>
      <c r="Z194" s="88"/>
      <c r="AA194" s="88"/>
      <c r="AB194" s="88"/>
      <c r="AC194" s="88"/>
      <c r="AD194" s="258"/>
    </row>
    <row r="195" spans="2:30" ht="20.100000000000001" customHeight="1">
      <c r="B195" s="108">
        <v>192</v>
      </c>
      <c r="C195" s="256"/>
      <c r="D195" s="204" t="s">
        <v>177</v>
      </c>
      <c r="E195" s="204" t="s">
        <v>120</v>
      </c>
      <c r="F195" s="204" t="s">
        <v>178</v>
      </c>
      <c r="G195" s="205">
        <v>28</v>
      </c>
      <c r="H195" s="205">
        <v>28</v>
      </c>
      <c r="I195" s="206">
        <f t="shared" si="8"/>
        <v>1</v>
      </c>
      <c r="J195" s="207" t="str">
        <f t="shared" si="7"/>
        <v>수료</v>
      </c>
      <c r="K195" s="197"/>
      <c r="M195" s="88"/>
      <c r="N195" s="88"/>
      <c r="O195" s="88"/>
      <c r="P195" s="88"/>
      <c r="Q195" s="88"/>
      <c r="R195" s="88"/>
      <c r="S195" s="88"/>
      <c r="T195" s="88"/>
      <c r="U195" s="88"/>
      <c r="V195" s="88"/>
      <c r="W195" s="88"/>
      <c r="X195" s="88"/>
      <c r="Y195" s="88"/>
      <c r="Z195" s="88"/>
      <c r="AA195" s="88"/>
      <c r="AB195" s="88"/>
      <c r="AC195" s="88"/>
      <c r="AD195" s="258"/>
    </row>
    <row r="196" spans="2:30" ht="20.100000000000001" customHeight="1">
      <c r="B196" s="108">
        <v>193</v>
      </c>
      <c r="C196" s="256"/>
      <c r="D196" s="204" t="s">
        <v>620</v>
      </c>
      <c r="E196" s="204" t="s">
        <v>120</v>
      </c>
      <c r="F196" s="204" t="s">
        <v>629</v>
      </c>
      <c r="G196" s="205">
        <v>28</v>
      </c>
      <c r="H196" s="205">
        <v>28</v>
      </c>
      <c r="I196" s="206">
        <f t="shared" si="8"/>
        <v>1</v>
      </c>
      <c r="J196" s="207" t="str">
        <f t="shared" si="7"/>
        <v>수료</v>
      </c>
      <c r="K196" s="197"/>
      <c r="L196" s="88"/>
      <c r="M196" s="88"/>
      <c r="N196" s="88"/>
      <c r="O196" s="88"/>
      <c r="P196" s="88"/>
      <c r="Q196" s="88"/>
      <c r="R196" s="88"/>
      <c r="S196" s="88"/>
      <c r="T196" s="88"/>
      <c r="U196" s="88"/>
      <c r="V196" s="88"/>
      <c r="W196" s="88"/>
      <c r="X196" s="88"/>
      <c r="Y196" s="88"/>
      <c r="Z196" s="88"/>
      <c r="AA196" s="88"/>
      <c r="AB196" s="88"/>
      <c r="AC196" s="88"/>
      <c r="AD196" s="258"/>
    </row>
    <row r="197" spans="2:30" ht="20.100000000000001" customHeight="1">
      <c r="B197" s="108">
        <v>194</v>
      </c>
      <c r="C197" s="256"/>
      <c r="D197" s="204" t="s">
        <v>172</v>
      </c>
      <c r="E197" s="204" t="s">
        <v>120</v>
      </c>
      <c r="F197" s="204" t="s">
        <v>173</v>
      </c>
      <c r="G197" s="205">
        <v>28</v>
      </c>
      <c r="H197" s="205">
        <v>28</v>
      </c>
      <c r="I197" s="206">
        <f t="shared" si="8"/>
        <v>1</v>
      </c>
      <c r="J197" s="207" t="str">
        <f t="shared" si="7"/>
        <v>수료</v>
      </c>
      <c r="K197" s="197"/>
      <c r="L197" s="88"/>
      <c r="M197" s="88"/>
      <c r="N197" s="88"/>
      <c r="O197" s="88"/>
      <c r="P197" s="88"/>
      <c r="Q197" s="88"/>
      <c r="R197" s="88"/>
      <c r="S197" s="88"/>
      <c r="T197" s="88"/>
      <c r="U197" s="88"/>
      <c r="V197" s="88"/>
      <c r="W197" s="88"/>
      <c r="X197" s="88"/>
      <c r="Y197" s="88"/>
      <c r="Z197" s="88"/>
      <c r="AA197" s="88"/>
      <c r="AB197" s="88"/>
      <c r="AC197" s="88"/>
      <c r="AD197" s="258"/>
    </row>
    <row r="198" spans="2:30" ht="20.100000000000001" customHeight="1">
      <c r="B198" s="108">
        <v>195</v>
      </c>
      <c r="C198" s="256"/>
      <c r="D198" s="204" t="s">
        <v>129</v>
      </c>
      <c r="E198" s="204" t="s">
        <v>120</v>
      </c>
      <c r="F198" s="204" t="s">
        <v>130</v>
      </c>
      <c r="G198" s="205">
        <v>28</v>
      </c>
      <c r="H198" s="205">
        <v>27</v>
      </c>
      <c r="I198" s="206">
        <f t="shared" ref="I198:I204" si="9">H198/G198</f>
        <v>0.9642857142857143</v>
      </c>
      <c r="J198" s="207" t="str">
        <f t="shared" si="7"/>
        <v>수료</v>
      </c>
      <c r="K198" s="197"/>
      <c r="L198" s="88"/>
      <c r="M198" s="88"/>
      <c r="N198" s="88"/>
      <c r="O198" s="88"/>
      <c r="P198" s="88"/>
      <c r="Q198" s="88"/>
      <c r="R198" s="88"/>
      <c r="S198" s="88"/>
      <c r="T198" s="88"/>
      <c r="U198" s="88"/>
      <c r="V198" s="88"/>
      <c r="W198" s="88"/>
      <c r="X198" s="88"/>
      <c r="Y198" s="88"/>
      <c r="Z198" s="88"/>
      <c r="AA198" s="88"/>
      <c r="AB198" s="88"/>
      <c r="AC198" s="88"/>
      <c r="AD198" s="258"/>
    </row>
    <row r="199" spans="2:30" ht="20.100000000000001" customHeight="1">
      <c r="B199" s="108">
        <v>196</v>
      </c>
      <c r="C199" s="256"/>
      <c r="D199" s="204" t="s">
        <v>556</v>
      </c>
      <c r="E199" s="204" t="s">
        <v>120</v>
      </c>
      <c r="F199" s="204" t="s">
        <v>570</v>
      </c>
      <c r="G199" s="205">
        <v>28</v>
      </c>
      <c r="H199" s="205">
        <v>23</v>
      </c>
      <c r="I199" s="206">
        <f t="shared" si="9"/>
        <v>0.8214285714285714</v>
      </c>
      <c r="J199" s="207" t="str">
        <f t="shared" si="7"/>
        <v>수료</v>
      </c>
      <c r="K199" s="197"/>
      <c r="L199" s="88"/>
      <c r="M199" s="88"/>
      <c r="N199" s="88"/>
      <c r="O199" s="88"/>
      <c r="P199" s="88"/>
      <c r="Q199" s="88"/>
      <c r="R199" s="88"/>
      <c r="S199" s="88"/>
      <c r="T199" s="88"/>
      <c r="U199" s="88"/>
      <c r="V199" s="88"/>
      <c r="W199" s="88"/>
      <c r="X199" s="88"/>
      <c r="Y199" s="88"/>
      <c r="Z199" s="88"/>
      <c r="AA199" s="88"/>
      <c r="AB199" s="88"/>
      <c r="AC199" s="88"/>
      <c r="AD199" s="258"/>
    </row>
    <row r="200" spans="2:30" ht="20.100000000000001" customHeight="1">
      <c r="B200" s="108">
        <v>197</v>
      </c>
      <c r="C200" s="256"/>
      <c r="D200" s="204" t="s">
        <v>639</v>
      </c>
      <c r="E200" s="204" t="s">
        <v>120</v>
      </c>
      <c r="F200" s="204" t="s">
        <v>299</v>
      </c>
      <c r="G200" s="205">
        <v>28</v>
      </c>
      <c r="H200" s="205">
        <v>13</v>
      </c>
      <c r="I200" s="206">
        <f t="shared" si="9"/>
        <v>0.4642857142857143</v>
      </c>
      <c r="J200" s="207" t="str">
        <f t="shared" si="7"/>
        <v>미수료</v>
      </c>
      <c r="K200" s="197"/>
      <c r="L200" s="88"/>
      <c r="M200" s="88"/>
      <c r="N200" s="88"/>
      <c r="O200" s="88"/>
      <c r="P200" s="88"/>
      <c r="Q200" s="88"/>
      <c r="R200" s="88"/>
      <c r="S200" s="88"/>
      <c r="T200" s="88"/>
      <c r="U200" s="88"/>
      <c r="V200" s="88"/>
      <c r="W200" s="88"/>
      <c r="X200" s="88"/>
      <c r="Y200" s="88"/>
      <c r="Z200" s="88"/>
      <c r="AA200" s="88"/>
      <c r="AB200" s="88"/>
      <c r="AC200" s="88"/>
      <c r="AD200" s="258"/>
    </row>
    <row r="201" spans="2:30" ht="20.100000000000001" customHeight="1">
      <c r="B201" s="108">
        <v>198</v>
      </c>
      <c r="C201" s="256"/>
      <c r="D201" s="204" t="s">
        <v>197</v>
      </c>
      <c r="E201" s="204" t="s">
        <v>120</v>
      </c>
      <c r="F201" s="204" t="s">
        <v>198</v>
      </c>
      <c r="G201" s="205">
        <v>28</v>
      </c>
      <c r="H201" s="205">
        <v>25</v>
      </c>
      <c r="I201" s="206">
        <f t="shared" si="9"/>
        <v>0.8928571428571429</v>
      </c>
      <c r="J201" s="207" t="str">
        <f t="shared" si="7"/>
        <v>수료</v>
      </c>
      <c r="K201" s="197"/>
      <c r="L201" s="88"/>
      <c r="M201" s="88"/>
      <c r="N201" s="88"/>
      <c r="O201" s="88"/>
      <c r="P201" s="88"/>
      <c r="Q201" s="88"/>
      <c r="R201" s="88"/>
      <c r="S201" s="88"/>
      <c r="T201" s="88"/>
      <c r="U201" s="88"/>
      <c r="V201" s="88"/>
      <c r="W201" s="88"/>
      <c r="X201" s="88"/>
      <c r="Y201" s="88"/>
      <c r="Z201" s="88"/>
      <c r="AA201" s="88"/>
      <c r="AB201" s="88"/>
      <c r="AC201" s="88"/>
      <c r="AD201" s="258"/>
    </row>
    <row r="202" spans="2:30" ht="20.100000000000001" customHeight="1">
      <c r="B202" s="108">
        <v>199</v>
      </c>
      <c r="C202" s="256"/>
      <c r="D202" s="204" t="s">
        <v>664</v>
      </c>
      <c r="E202" s="204" t="s">
        <v>120</v>
      </c>
      <c r="F202" s="204" t="s">
        <v>668</v>
      </c>
      <c r="G202" s="205">
        <v>28</v>
      </c>
      <c r="H202" s="205">
        <v>24</v>
      </c>
      <c r="I202" s="206">
        <f t="shared" si="9"/>
        <v>0.8571428571428571</v>
      </c>
      <c r="J202" s="207" t="str">
        <f t="shared" si="7"/>
        <v>수료</v>
      </c>
      <c r="K202" s="197"/>
      <c r="L202" s="88"/>
      <c r="M202" s="88"/>
      <c r="N202" s="88"/>
      <c r="O202" s="88"/>
      <c r="P202" s="88"/>
      <c r="Q202" s="88"/>
      <c r="R202" s="88"/>
      <c r="S202" s="88"/>
      <c r="T202" s="88"/>
      <c r="U202" s="88"/>
      <c r="V202" s="88"/>
      <c r="W202" s="88"/>
      <c r="X202" s="88"/>
      <c r="Y202" s="88"/>
      <c r="Z202" s="88"/>
      <c r="AA202" s="88"/>
      <c r="AB202" s="88"/>
      <c r="AC202" s="88"/>
      <c r="AD202" s="258"/>
    </row>
    <row r="203" spans="2:30" ht="20.100000000000001" customHeight="1">
      <c r="B203" s="108">
        <v>200</v>
      </c>
      <c r="C203" s="256"/>
      <c r="D203" s="204" t="s">
        <v>201</v>
      </c>
      <c r="E203" s="204" t="s">
        <v>120</v>
      </c>
      <c r="F203" s="204" t="s">
        <v>202</v>
      </c>
      <c r="G203" s="205">
        <v>28</v>
      </c>
      <c r="H203" s="205">
        <v>26</v>
      </c>
      <c r="I203" s="206">
        <f t="shared" si="9"/>
        <v>0.9285714285714286</v>
      </c>
      <c r="J203" s="207" t="str">
        <f t="shared" si="7"/>
        <v>수료</v>
      </c>
      <c r="K203" s="197"/>
      <c r="L203" s="88"/>
      <c r="M203" s="88"/>
      <c r="N203" s="88"/>
      <c r="O203" s="88"/>
      <c r="P203" s="88"/>
      <c r="Q203" s="88"/>
      <c r="R203" s="88"/>
      <c r="S203" s="88"/>
      <c r="T203" s="88"/>
      <c r="U203" s="88"/>
      <c r="V203" s="88"/>
      <c r="W203" s="88"/>
      <c r="X203" s="88"/>
      <c r="Y203" s="88"/>
      <c r="Z203" s="88"/>
      <c r="AA203" s="88"/>
      <c r="AB203" s="88"/>
      <c r="AC203" s="88"/>
      <c r="AD203" s="258"/>
    </row>
    <row r="204" spans="2:30" ht="20.100000000000001" customHeight="1">
      <c r="B204" s="108">
        <v>201</v>
      </c>
      <c r="C204" s="256"/>
      <c r="D204" s="204" t="s">
        <v>183</v>
      </c>
      <c r="E204" s="204" t="s">
        <v>120</v>
      </c>
      <c r="F204" s="204" t="s">
        <v>287</v>
      </c>
      <c r="G204" s="205">
        <v>28</v>
      </c>
      <c r="H204" s="205">
        <v>27</v>
      </c>
      <c r="I204" s="206">
        <f t="shared" si="9"/>
        <v>0.9642857142857143</v>
      </c>
      <c r="J204" s="207" t="str">
        <f t="shared" si="7"/>
        <v>수료</v>
      </c>
      <c r="K204" s="197"/>
      <c r="L204" s="88"/>
      <c r="M204" s="88"/>
      <c r="N204" s="88"/>
      <c r="O204" s="88"/>
      <c r="P204" s="88"/>
      <c r="Q204" s="88"/>
      <c r="R204" s="88"/>
      <c r="S204" s="88"/>
      <c r="T204" s="88"/>
      <c r="U204" s="88"/>
      <c r="V204" s="88"/>
      <c r="W204" s="88"/>
      <c r="X204" s="88"/>
      <c r="Y204" s="88"/>
      <c r="Z204" s="88"/>
      <c r="AA204" s="88"/>
      <c r="AB204" s="88"/>
      <c r="AC204" s="88"/>
      <c r="AD204" s="258"/>
    </row>
    <row r="205" spans="2:30" ht="20.100000000000001" customHeight="1">
      <c r="B205" s="108">
        <v>202</v>
      </c>
      <c r="C205" s="256"/>
      <c r="D205" s="204" t="s">
        <v>183</v>
      </c>
      <c r="E205" s="204" t="s">
        <v>120</v>
      </c>
      <c r="F205" s="204" t="s">
        <v>184</v>
      </c>
      <c r="G205" s="205">
        <v>28</v>
      </c>
      <c r="H205" s="205">
        <v>21</v>
      </c>
      <c r="I205" s="206">
        <f t="shared" si="8"/>
        <v>0.75</v>
      </c>
      <c r="J205" s="207" t="str">
        <f t="shared" si="7"/>
        <v>수료</v>
      </c>
      <c r="K205" s="197"/>
      <c r="L205" s="88"/>
      <c r="M205" s="88"/>
      <c r="N205" s="88"/>
      <c r="O205" s="88"/>
      <c r="P205" s="88"/>
      <c r="Q205" s="88"/>
      <c r="R205" s="88"/>
      <c r="S205" s="88"/>
      <c r="T205" s="88"/>
      <c r="U205" s="88"/>
      <c r="V205" s="88"/>
      <c r="W205" s="88"/>
      <c r="X205" s="88"/>
      <c r="Y205" s="88"/>
      <c r="Z205" s="88"/>
      <c r="AA205" s="88"/>
      <c r="AB205" s="88"/>
      <c r="AC205" s="88"/>
      <c r="AD205" s="258"/>
    </row>
    <row r="206" spans="2:30" ht="20.100000000000001" customHeight="1">
      <c r="B206" s="108">
        <v>203</v>
      </c>
      <c r="C206" s="256"/>
      <c r="D206" s="204" t="s">
        <v>168</v>
      </c>
      <c r="E206" s="204" t="s">
        <v>120</v>
      </c>
      <c r="F206" s="204" t="s">
        <v>169</v>
      </c>
      <c r="G206" s="205">
        <v>28</v>
      </c>
      <c r="H206" s="205">
        <v>28</v>
      </c>
      <c r="I206" s="206">
        <f>H206/G206</f>
        <v>1</v>
      </c>
      <c r="J206" s="207" t="str">
        <f t="shared" si="7"/>
        <v>수료</v>
      </c>
      <c r="K206" s="197"/>
      <c r="L206" s="127"/>
      <c r="M206" s="127"/>
      <c r="N206" s="127"/>
      <c r="O206" s="127"/>
      <c r="P206" s="127"/>
      <c r="Q206" s="127"/>
      <c r="R206" s="127"/>
      <c r="S206" s="127"/>
      <c r="T206" s="127"/>
      <c r="U206" s="127"/>
      <c r="V206" s="127"/>
      <c r="W206" s="127"/>
      <c r="X206" s="127"/>
      <c r="Y206" s="127"/>
      <c r="Z206" s="127"/>
      <c r="AA206" s="127"/>
      <c r="AB206" s="127"/>
      <c r="AC206" s="127"/>
      <c r="AD206" s="258"/>
    </row>
    <row r="207" spans="2:30" ht="20.100000000000001" customHeight="1">
      <c r="B207" s="108">
        <v>204</v>
      </c>
      <c r="C207" s="256"/>
      <c r="D207" s="204" t="s">
        <v>206</v>
      </c>
      <c r="E207" s="204" t="s">
        <v>120</v>
      </c>
      <c r="F207" s="204" t="s">
        <v>207</v>
      </c>
      <c r="G207" s="205">
        <v>28</v>
      </c>
      <c r="H207" s="205">
        <v>25</v>
      </c>
      <c r="I207" s="206">
        <f>H207/G207</f>
        <v>0.8928571428571429</v>
      </c>
      <c r="J207" s="207" t="str">
        <f t="shared" si="7"/>
        <v>수료</v>
      </c>
      <c r="K207" s="197"/>
      <c r="L207" s="127"/>
      <c r="M207" s="127"/>
      <c r="N207" s="127"/>
      <c r="O207" s="127"/>
      <c r="P207" s="127"/>
      <c r="Q207" s="127"/>
      <c r="R207" s="127"/>
      <c r="S207" s="127"/>
      <c r="T207" s="127"/>
      <c r="U207" s="127"/>
      <c r="V207" s="127"/>
      <c r="W207" s="127"/>
      <c r="X207" s="127"/>
      <c r="Y207" s="127"/>
      <c r="Z207" s="127"/>
      <c r="AA207" s="127"/>
      <c r="AB207" s="127"/>
      <c r="AC207" s="127"/>
      <c r="AD207" s="258"/>
    </row>
    <row r="208" spans="2:30" ht="20.100000000000001" customHeight="1">
      <c r="B208" s="108">
        <v>205</v>
      </c>
      <c r="C208" s="256"/>
      <c r="D208" s="204" t="s">
        <v>665</v>
      </c>
      <c r="E208" s="204" t="s">
        <v>120</v>
      </c>
      <c r="F208" s="204" t="s">
        <v>669</v>
      </c>
      <c r="G208" s="205">
        <v>28</v>
      </c>
      <c r="H208" s="205">
        <v>26</v>
      </c>
      <c r="I208" s="206">
        <f>H208/G208</f>
        <v>0.9285714285714286</v>
      </c>
      <c r="J208" s="207" t="str">
        <f t="shared" si="7"/>
        <v>수료</v>
      </c>
      <c r="K208" s="197"/>
      <c r="L208" s="127"/>
      <c r="M208" s="127"/>
      <c r="N208" s="127"/>
      <c r="O208" s="127"/>
      <c r="P208" s="127"/>
      <c r="Q208" s="127"/>
      <c r="R208" s="127"/>
      <c r="S208" s="127"/>
      <c r="T208" s="127"/>
      <c r="U208" s="127"/>
      <c r="V208" s="127"/>
      <c r="W208" s="127"/>
      <c r="X208" s="127"/>
      <c r="Y208" s="127"/>
      <c r="Z208" s="127"/>
      <c r="AA208" s="127"/>
      <c r="AB208" s="127"/>
      <c r="AC208" s="127"/>
      <c r="AD208" s="258"/>
    </row>
    <row r="209" spans="2:30" ht="20.100000000000001" customHeight="1">
      <c r="B209" s="108">
        <v>206</v>
      </c>
      <c r="C209" s="256"/>
      <c r="D209" s="204" t="s">
        <v>562</v>
      </c>
      <c r="E209" s="204" t="s">
        <v>120</v>
      </c>
      <c r="F209" s="204" t="s">
        <v>577</v>
      </c>
      <c r="G209" s="205">
        <v>28</v>
      </c>
      <c r="H209" s="205">
        <v>24</v>
      </c>
      <c r="I209" s="206">
        <f>H209/G209</f>
        <v>0.8571428571428571</v>
      </c>
      <c r="J209" s="207" t="str">
        <f t="shared" si="7"/>
        <v>수료</v>
      </c>
      <c r="K209" s="197"/>
      <c r="L209" s="127"/>
      <c r="M209" s="127"/>
      <c r="N209" s="127"/>
      <c r="O209" s="127"/>
      <c r="P209" s="127"/>
      <c r="Q209" s="127"/>
      <c r="R209" s="127"/>
      <c r="S209" s="127"/>
      <c r="T209" s="127"/>
      <c r="U209" s="127"/>
      <c r="V209" s="127"/>
      <c r="W209" s="127"/>
      <c r="X209" s="127"/>
      <c r="Y209" s="127"/>
      <c r="Z209" s="127"/>
      <c r="AA209" s="127"/>
      <c r="AB209" s="127"/>
      <c r="AC209" s="127"/>
      <c r="AD209" s="258"/>
    </row>
    <row r="210" spans="2:30" ht="20.100000000000001" customHeight="1">
      <c r="B210" s="108">
        <v>207</v>
      </c>
      <c r="C210" s="256"/>
      <c r="D210" s="204" t="s">
        <v>210</v>
      </c>
      <c r="E210" s="204" t="s">
        <v>120</v>
      </c>
      <c r="F210" s="204" t="s">
        <v>211</v>
      </c>
      <c r="G210" s="205">
        <v>28</v>
      </c>
      <c r="H210" s="205">
        <v>25</v>
      </c>
      <c r="I210" s="206">
        <f t="shared" si="8"/>
        <v>0.8928571428571429</v>
      </c>
      <c r="J210" s="207" t="str">
        <f t="shared" ref="J210:J269" si="10">IF(I210&gt;=70%,"수료","미수료")</f>
        <v>수료</v>
      </c>
      <c r="K210" s="197"/>
      <c r="L210" s="88"/>
      <c r="M210" s="88"/>
      <c r="N210" s="88"/>
      <c r="O210" s="88"/>
      <c r="P210" s="88"/>
      <c r="Q210" s="88"/>
      <c r="R210" s="88"/>
      <c r="S210" s="88"/>
      <c r="T210" s="88"/>
      <c r="U210" s="88"/>
      <c r="V210" s="88"/>
      <c r="W210" s="88"/>
      <c r="X210" s="88"/>
      <c r="Y210" s="88"/>
      <c r="Z210" s="88"/>
      <c r="AA210" s="88"/>
      <c r="AB210" s="88"/>
      <c r="AC210" s="88"/>
      <c r="AD210" s="258"/>
    </row>
    <row r="211" spans="2:30" ht="20.100000000000001" customHeight="1">
      <c r="B211" s="108">
        <v>208</v>
      </c>
      <c r="C211" s="256"/>
      <c r="D211" s="204" t="s">
        <v>666</v>
      </c>
      <c r="E211" s="204" t="s">
        <v>120</v>
      </c>
      <c r="F211" s="204" t="s">
        <v>670</v>
      </c>
      <c r="G211" s="205">
        <v>28</v>
      </c>
      <c r="H211" s="205">
        <v>28</v>
      </c>
      <c r="I211" s="206">
        <f t="shared" si="8"/>
        <v>1</v>
      </c>
      <c r="J211" s="207" t="str">
        <f t="shared" si="10"/>
        <v>수료</v>
      </c>
      <c r="K211" s="197"/>
      <c r="L211" s="88"/>
      <c r="N211" s="88"/>
      <c r="O211" s="88"/>
      <c r="P211" s="88"/>
      <c r="Q211" s="88"/>
      <c r="R211" s="88"/>
      <c r="S211" s="88"/>
      <c r="T211" s="88"/>
      <c r="U211" s="88"/>
      <c r="V211" s="88"/>
      <c r="W211" s="88"/>
      <c r="X211" s="88"/>
      <c r="Y211" s="88"/>
      <c r="Z211" s="88"/>
      <c r="AA211" s="88"/>
      <c r="AB211" s="88"/>
      <c r="AC211" s="88"/>
      <c r="AD211" s="258"/>
    </row>
    <row r="212" spans="2:30" ht="20.100000000000001" customHeight="1">
      <c r="B212" s="108">
        <v>209</v>
      </c>
      <c r="C212" s="256" t="s">
        <v>470</v>
      </c>
      <c r="D212" s="204" t="s">
        <v>192</v>
      </c>
      <c r="E212" s="204" t="s">
        <v>120</v>
      </c>
      <c r="F212" s="204" t="s">
        <v>193</v>
      </c>
      <c r="G212" s="205">
        <v>28</v>
      </c>
      <c r="H212" s="205">
        <v>28</v>
      </c>
      <c r="I212" s="206">
        <f t="shared" si="8"/>
        <v>1</v>
      </c>
      <c r="J212" s="207" t="str">
        <f t="shared" si="10"/>
        <v>수료</v>
      </c>
      <c r="N212" s="88"/>
      <c r="O212" s="88"/>
      <c r="P212" s="88"/>
      <c r="Q212" s="88"/>
      <c r="R212" s="88"/>
      <c r="S212" s="88"/>
      <c r="T212" s="88"/>
      <c r="U212" s="88"/>
      <c r="V212" s="88"/>
      <c r="W212" s="88"/>
      <c r="X212" s="88"/>
      <c r="Y212" s="88"/>
      <c r="Z212" s="88"/>
      <c r="AA212" s="88"/>
      <c r="AB212" s="88"/>
      <c r="AC212" s="88"/>
      <c r="AD212" s="258"/>
    </row>
    <row r="213" spans="2:30" ht="20.100000000000001" customHeight="1">
      <c r="B213" s="108">
        <v>210</v>
      </c>
      <c r="C213" s="256"/>
      <c r="D213" s="204" t="s">
        <v>265</v>
      </c>
      <c r="E213" s="204" t="s">
        <v>120</v>
      </c>
      <c r="F213" s="204" t="s">
        <v>268</v>
      </c>
      <c r="G213" s="205">
        <v>28</v>
      </c>
      <c r="H213" s="205">
        <v>28</v>
      </c>
      <c r="I213" s="206">
        <f t="shared" si="8"/>
        <v>1</v>
      </c>
      <c r="J213" s="207" t="str">
        <f t="shared" si="10"/>
        <v>수료</v>
      </c>
      <c r="K213" s="197"/>
      <c r="L213" s="88"/>
      <c r="M213" s="88"/>
      <c r="N213" s="88"/>
      <c r="O213" s="88"/>
      <c r="P213" s="88"/>
      <c r="Q213" s="88"/>
      <c r="R213" s="88"/>
      <c r="S213" s="88"/>
      <c r="T213" s="88"/>
      <c r="U213" s="88"/>
      <c r="V213" s="88"/>
      <c r="W213" s="88"/>
      <c r="X213" s="88"/>
      <c r="Y213" s="88"/>
      <c r="Z213" s="88"/>
      <c r="AA213" s="88"/>
      <c r="AB213" s="88"/>
      <c r="AC213" s="88"/>
      <c r="AD213" s="258"/>
    </row>
    <row r="214" spans="2:30" ht="20.100000000000001" customHeight="1">
      <c r="B214" s="108">
        <v>211</v>
      </c>
      <c r="C214" s="256"/>
      <c r="D214" s="204" t="s">
        <v>194</v>
      </c>
      <c r="E214" s="204" t="s">
        <v>120</v>
      </c>
      <c r="F214" s="204" t="s">
        <v>195</v>
      </c>
      <c r="G214" s="205">
        <v>28</v>
      </c>
      <c r="H214" s="205">
        <v>28</v>
      </c>
      <c r="I214" s="206">
        <f t="shared" si="8"/>
        <v>1</v>
      </c>
      <c r="J214" s="207" t="str">
        <f t="shared" si="10"/>
        <v>수료</v>
      </c>
      <c r="L214" s="88"/>
      <c r="M214" s="88"/>
      <c r="N214" s="88"/>
      <c r="O214" s="88"/>
      <c r="P214" s="88"/>
      <c r="Q214" s="88"/>
      <c r="R214" s="88"/>
      <c r="S214" s="88"/>
      <c r="T214" s="88"/>
      <c r="U214" s="88"/>
      <c r="V214" s="88"/>
      <c r="W214" s="88"/>
      <c r="X214" s="88"/>
      <c r="Y214" s="88"/>
      <c r="Z214" s="88"/>
      <c r="AA214" s="88"/>
      <c r="AB214" s="88"/>
      <c r="AC214" s="88"/>
      <c r="AD214" s="258"/>
    </row>
    <row r="215" spans="2:30" ht="20.100000000000001" customHeight="1">
      <c r="B215" s="108">
        <v>212</v>
      </c>
      <c r="C215" s="256"/>
      <c r="D215" s="204" t="s">
        <v>177</v>
      </c>
      <c r="E215" s="204" t="s">
        <v>120</v>
      </c>
      <c r="F215" s="204" t="s">
        <v>178</v>
      </c>
      <c r="G215" s="205">
        <v>28</v>
      </c>
      <c r="H215" s="205">
        <v>25</v>
      </c>
      <c r="I215" s="206">
        <f t="shared" si="8"/>
        <v>0.8928571428571429</v>
      </c>
      <c r="J215" s="207" t="str">
        <f t="shared" si="10"/>
        <v>수료</v>
      </c>
      <c r="K215" s="197"/>
      <c r="L215" s="88"/>
      <c r="M215" s="88"/>
      <c r="N215" s="88"/>
      <c r="O215" s="88"/>
      <c r="P215" s="88"/>
      <c r="Q215" s="88"/>
      <c r="R215" s="88"/>
      <c r="S215" s="88"/>
      <c r="T215" s="88"/>
      <c r="U215" s="88"/>
      <c r="V215" s="88"/>
      <c r="W215" s="88"/>
      <c r="X215" s="88"/>
      <c r="Y215" s="88"/>
      <c r="Z215" s="88"/>
      <c r="AA215" s="88"/>
      <c r="AB215" s="88"/>
      <c r="AC215" s="88"/>
      <c r="AD215" s="258"/>
    </row>
    <row r="216" spans="2:30" ht="20.100000000000001" customHeight="1">
      <c r="B216" s="108">
        <v>213</v>
      </c>
      <c r="C216" s="256"/>
      <c r="D216" s="204" t="s">
        <v>172</v>
      </c>
      <c r="E216" s="204" t="s">
        <v>120</v>
      </c>
      <c r="F216" s="204" t="s">
        <v>173</v>
      </c>
      <c r="G216" s="205">
        <v>28</v>
      </c>
      <c r="H216" s="205">
        <v>28</v>
      </c>
      <c r="I216" s="206">
        <f t="shared" si="8"/>
        <v>1</v>
      </c>
      <c r="J216" s="207" t="str">
        <f t="shared" si="10"/>
        <v>수료</v>
      </c>
      <c r="K216" s="197"/>
      <c r="L216" s="88"/>
      <c r="M216" s="88"/>
      <c r="N216" s="88"/>
      <c r="O216" s="88"/>
      <c r="P216" s="88"/>
      <c r="Q216" s="88"/>
      <c r="R216" s="88"/>
      <c r="S216" s="88"/>
      <c r="T216" s="88"/>
      <c r="U216" s="88"/>
      <c r="V216" s="88"/>
      <c r="W216" s="88"/>
      <c r="X216" s="88"/>
      <c r="Y216" s="88"/>
      <c r="Z216" s="88"/>
      <c r="AA216" s="88"/>
      <c r="AB216" s="88"/>
      <c r="AC216" s="88"/>
      <c r="AD216" s="258"/>
    </row>
    <row r="217" spans="2:30" ht="20.100000000000001" customHeight="1">
      <c r="B217" s="108">
        <v>214</v>
      </c>
      <c r="C217" s="256"/>
      <c r="D217" s="204" t="s">
        <v>174</v>
      </c>
      <c r="E217" s="204" t="s">
        <v>120</v>
      </c>
      <c r="F217" s="204" t="s">
        <v>175</v>
      </c>
      <c r="G217" s="205">
        <v>28</v>
      </c>
      <c r="H217" s="205">
        <v>28</v>
      </c>
      <c r="I217" s="206">
        <f t="shared" si="8"/>
        <v>1</v>
      </c>
      <c r="J217" s="207" t="str">
        <f t="shared" si="10"/>
        <v>수료</v>
      </c>
      <c r="K217" s="197"/>
      <c r="L217" s="88"/>
      <c r="M217" s="88"/>
      <c r="N217" s="88"/>
      <c r="O217" s="88"/>
      <c r="P217" s="88"/>
      <c r="Q217" s="88"/>
      <c r="R217" s="88"/>
      <c r="S217" s="88"/>
      <c r="T217" s="88"/>
      <c r="U217" s="88"/>
      <c r="V217" s="88"/>
      <c r="W217" s="88"/>
      <c r="X217" s="88"/>
      <c r="Y217" s="88"/>
      <c r="Z217" s="88"/>
      <c r="AA217" s="88"/>
      <c r="AB217" s="88"/>
      <c r="AC217" s="88"/>
      <c r="AD217" s="88"/>
    </row>
    <row r="218" spans="2:30" ht="20.100000000000001" customHeight="1">
      <c r="B218" s="108">
        <v>215</v>
      </c>
      <c r="C218" s="256"/>
      <c r="D218" s="204" t="s">
        <v>558</v>
      </c>
      <c r="E218" s="204" t="s">
        <v>120</v>
      </c>
      <c r="F218" s="204" t="s">
        <v>572</v>
      </c>
      <c r="G218" s="205">
        <v>28</v>
      </c>
      <c r="H218" s="205">
        <v>21</v>
      </c>
      <c r="I218" s="206">
        <f t="shared" si="8"/>
        <v>0.75</v>
      </c>
      <c r="J218" s="207" t="str">
        <f t="shared" si="10"/>
        <v>수료</v>
      </c>
      <c r="N218" s="88"/>
      <c r="O218" s="88"/>
      <c r="P218" s="88"/>
      <c r="Q218" s="88"/>
      <c r="R218" s="88"/>
      <c r="S218" s="88"/>
      <c r="T218" s="88"/>
      <c r="U218" s="88"/>
      <c r="V218" s="88"/>
      <c r="W218" s="88"/>
      <c r="X218" s="88"/>
      <c r="Y218" s="88"/>
      <c r="Z218" s="88"/>
      <c r="AA218" s="88"/>
      <c r="AB218" s="88"/>
      <c r="AC218" s="88"/>
      <c r="AD218" s="88"/>
    </row>
    <row r="219" spans="2:30" ht="20.100000000000001" customHeight="1">
      <c r="B219" s="108">
        <v>216</v>
      </c>
      <c r="C219" s="256"/>
      <c r="D219" s="204" t="s">
        <v>671</v>
      </c>
      <c r="E219" s="204" t="s">
        <v>120</v>
      </c>
      <c r="F219" s="204" t="s">
        <v>674</v>
      </c>
      <c r="G219" s="205">
        <v>28</v>
      </c>
      <c r="H219" s="205">
        <v>25</v>
      </c>
      <c r="I219" s="206">
        <f t="shared" si="8"/>
        <v>0.8928571428571429</v>
      </c>
      <c r="J219" s="207" t="str">
        <f t="shared" si="10"/>
        <v>수료</v>
      </c>
      <c r="K219" s="197"/>
      <c r="L219" s="88"/>
      <c r="M219" s="88"/>
      <c r="N219" s="88"/>
      <c r="O219" s="88"/>
      <c r="P219" s="88"/>
      <c r="Q219" s="88"/>
      <c r="R219" s="88"/>
      <c r="S219" s="88"/>
      <c r="T219" s="88"/>
      <c r="U219" s="88"/>
      <c r="V219" s="88"/>
      <c r="W219" s="88"/>
      <c r="X219" s="88"/>
      <c r="Y219" s="88"/>
      <c r="Z219" s="88"/>
      <c r="AA219" s="88"/>
      <c r="AB219" s="88"/>
      <c r="AC219" s="88"/>
      <c r="AD219" s="88"/>
    </row>
    <row r="220" spans="2:30" ht="20.100000000000001" customHeight="1">
      <c r="B220" s="108">
        <v>217</v>
      </c>
      <c r="C220" s="256"/>
      <c r="D220" s="204" t="s">
        <v>267</v>
      </c>
      <c r="E220" s="204" t="s">
        <v>120</v>
      </c>
      <c r="F220" s="204" t="s">
        <v>270</v>
      </c>
      <c r="G220" s="205">
        <v>28</v>
      </c>
      <c r="H220" s="205">
        <v>28</v>
      </c>
      <c r="I220" s="206">
        <f t="shared" si="8"/>
        <v>1</v>
      </c>
      <c r="J220" s="207" t="str">
        <f t="shared" si="10"/>
        <v>수료</v>
      </c>
      <c r="K220" s="197"/>
      <c r="L220" s="88"/>
      <c r="M220" s="88"/>
      <c r="O220" s="88"/>
      <c r="P220" s="88"/>
      <c r="Q220" s="88"/>
      <c r="R220" s="88"/>
      <c r="S220" s="88"/>
      <c r="T220" s="88"/>
      <c r="U220" s="88"/>
      <c r="V220" s="88"/>
      <c r="W220" s="88"/>
      <c r="X220" s="88"/>
      <c r="Y220" s="88"/>
      <c r="Z220" s="88"/>
      <c r="AA220" s="88"/>
      <c r="AB220" s="88"/>
      <c r="AC220" s="88"/>
      <c r="AD220" s="88"/>
    </row>
    <row r="221" spans="2:30" ht="20.100000000000001" customHeight="1">
      <c r="B221" s="108">
        <v>218</v>
      </c>
      <c r="C221" s="256"/>
      <c r="D221" s="204" t="s">
        <v>672</v>
      </c>
      <c r="E221" s="204" t="s">
        <v>120</v>
      </c>
      <c r="F221" s="204" t="s">
        <v>675</v>
      </c>
      <c r="G221" s="205">
        <v>28</v>
      </c>
      <c r="H221" s="205">
        <v>15</v>
      </c>
      <c r="I221" s="206">
        <f t="shared" si="8"/>
        <v>0.5357142857142857</v>
      </c>
      <c r="J221" s="207" t="str">
        <f t="shared" si="10"/>
        <v>미수료</v>
      </c>
      <c r="K221" s="197"/>
      <c r="L221" s="98"/>
      <c r="M221" s="98"/>
      <c r="N221" s="98"/>
      <c r="O221" s="98"/>
      <c r="P221" s="88"/>
      <c r="Q221" s="88"/>
      <c r="R221" s="88"/>
      <c r="S221" s="88"/>
      <c r="T221" s="88"/>
      <c r="U221" s="88"/>
      <c r="V221" s="88"/>
      <c r="W221" s="88"/>
      <c r="X221" s="88"/>
      <c r="Y221" s="88"/>
      <c r="Z221" s="88"/>
      <c r="AA221" s="88"/>
      <c r="AB221" s="88"/>
      <c r="AC221" s="88"/>
      <c r="AD221" s="88"/>
    </row>
    <row r="222" spans="2:30" ht="20.100000000000001" customHeight="1">
      <c r="B222" s="108">
        <v>219</v>
      </c>
      <c r="C222" s="256"/>
      <c r="D222" s="204" t="s">
        <v>673</v>
      </c>
      <c r="E222" s="204" t="s">
        <v>120</v>
      </c>
      <c r="F222" s="204" t="s">
        <v>676</v>
      </c>
      <c r="G222" s="205">
        <v>28</v>
      </c>
      <c r="H222" s="205">
        <v>18</v>
      </c>
      <c r="I222" s="206">
        <f t="shared" si="8"/>
        <v>0.6428571428571429</v>
      </c>
      <c r="J222" s="207" t="str">
        <f t="shared" si="10"/>
        <v>미수료</v>
      </c>
      <c r="K222" s="197"/>
      <c r="L222" s="88"/>
      <c r="N222" s="88"/>
      <c r="O222" s="88"/>
      <c r="P222" s="88"/>
      <c r="Q222" s="88"/>
      <c r="R222" s="88"/>
      <c r="S222" s="88"/>
      <c r="T222" s="88"/>
      <c r="U222" s="88"/>
      <c r="V222" s="88"/>
      <c r="W222" s="88"/>
      <c r="X222" s="88"/>
      <c r="Y222" s="88"/>
      <c r="Z222" s="88"/>
      <c r="AA222" s="88"/>
      <c r="AB222" s="88"/>
      <c r="AC222" s="88"/>
      <c r="AD222" s="88"/>
    </row>
    <row r="223" spans="2:30" ht="20.100000000000001" customHeight="1">
      <c r="B223" s="108">
        <v>220</v>
      </c>
      <c r="C223" s="256"/>
      <c r="D223" s="204" t="s">
        <v>312</v>
      </c>
      <c r="E223" s="204" t="s">
        <v>120</v>
      </c>
      <c r="F223" s="204" t="s">
        <v>574</v>
      </c>
      <c r="G223" s="205">
        <v>28</v>
      </c>
      <c r="H223" s="205">
        <v>28</v>
      </c>
      <c r="I223" s="206">
        <f t="shared" si="8"/>
        <v>1</v>
      </c>
      <c r="J223" s="207" t="str">
        <f t="shared" si="10"/>
        <v>수료</v>
      </c>
      <c r="K223" s="197"/>
      <c r="L223" s="88"/>
      <c r="M223" s="88"/>
      <c r="N223" s="88"/>
      <c r="O223" s="88"/>
      <c r="P223" s="88"/>
      <c r="Q223" s="88"/>
      <c r="R223" s="88"/>
      <c r="S223" s="88"/>
      <c r="T223" s="88"/>
      <c r="U223" s="88"/>
      <c r="V223" s="88"/>
      <c r="W223" s="88"/>
      <c r="X223" s="88"/>
      <c r="Y223" s="88"/>
      <c r="Z223" s="88"/>
      <c r="AA223" s="88"/>
      <c r="AB223" s="88"/>
      <c r="AC223" s="88"/>
      <c r="AD223" s="88"/>
    </row>
    <row r="224" spans="2:30" ht="20.100000000000001" customHeight="1">
      <c r="B224" s="108">
        <v>221</v>
      </c>
      <c r="C224" s="256"/>
      <c r="D224" s="204" t="s">
        <v>166</v>
      </c>
      <c r="E224" s="204" t="s">
        <v>120</v>
      </c>
      <c r="F224" s="204" t="s">
        <v>167</v>
      </c>
      <c r="G224" s="205">
        <v>28</v>
      </c>
      <c r="H224" s="205">
        <v>28</v>
      </c>
      <c r="I224" s="206">
        <f t="shared" ref="I224:I230" si="11">H224/G224</f>
        <v>1</v>
      </c>
      <c r="J224" s="207" t="str">
        <f t="shared" si="10"/>
        <v>수료</v>
      </c>
      <c r="K224" s="197"/>
      <c r="L224" s="127"/>
      <c r="M224" s="127"/>
      <c r="N224" s="127"/>
      <c r="O224" s="127"/>
      <c r="P224" s="127"/>
      <c r="Q224" s="127"/>
      <c r="R224" s="127"/>
      <c r="S224" s="127"/>
      <c r="T224" s="127"/>
      <c r="U224" s="127"/>
      <c r="V224" s="127"/>
      <c r="W224" s="127"/>
      <c r="X224" s="127"/>
      <c r="Y224" s="127"/>
      <c r="Z224" s="127"/>
      <c r="AA224" s="127"/>
      <c r="AB224" s="127"/>
      <c r="AC224" s="127"/>
      <c r="AD224" s="127"/>
    </row>
    <row r="225" spans="2:30" ht="20.100000000000001" customHeight="1">
      <c r="B225" s="108">
        <v>222</v>
      </c>
      <c r="C225" s="256"/>
      <c r="D225" s="204" t="s">
        <v>188</v>
      </c>
      <c r="E225" s="204" t="s">
        <v>120</v>
      </c>
      <c r="F225" s="204" t="s">
        <v>189</v>
      </c>
      <c r="G225" s="205">
        <v>28</v>
      </c>
      <c r="H225" s="205">
        <v>28</v>
      </c>
      <c r="I225" s="206">
        <f t="shared" si="11"/>
        <v>1</v>
      </c>
      <c r="J225" s="207" t="str">
        <f t="shared" si="10"/>
        <v>수료</v>
      </c>
      <c r="K225" s="197"/>
      <c r="L225" s="127"/>
      <c r="M225" s="127"/>
      <c r="N225" s="127"/>
      <c r="O225" s="127"/>
      <c r="P225" s="127"/>
      <c r="Q225" s="127"/>
      <c r="R225" s="127"/>
      <c r="S225" s="127"/>
      <c r="T225" s="127"/>
      <c r="U225" s="127"/>
      <c r="V225" s="127"/>
      <c r="W225" s="127"/>
      <c r="X225" s="127"/>
      <c r="Y225" s="127"/>
      <c r="Z225" s="127"/>
      <c r="AA225" s="127"/>
      <c r="AB225" s="127"/>
      <c r="AC225" s="127"/>
      <c r="AD225" s="127"/>
    </row>
    <row r="226" spans="2:30" ht="20.100000000000001" customHeight="1">
      <c r="B226" s="108">
        <v>223</v>
      </c>
      <c r="C226" s="256"/>
      <c r="D226" s="204" t="s">
        <v>261</v>
      </c>
      <c r="E226" s="204" t="s">
        <v>120</v>
      </c>
      <c r="F226" s="204" t="s">
        <v>264</v>
      </c>
      <c r="G226" s="205">
        <v>28</v>
      </c>
      <c r="H226" s="205">
        <v>7</v>
      </c>
      <c r="I226" s="206">
        <f t="shared" si="11"/>
        <v>0.25</v>
      </c>
      <c r="J226" s="207" t="str">
        <f t="shared" si="10"/>
        <v>미수료</v>
      </c>
      <c r="K226" s="197"/>
      <c r="L226" s="127"/>
      <c r="M226" s="127"/>
      <c r="N226" s="127"/>
      <c r="O226" s="127"/>
      <c r="P226" s="127"/>
      <c r="Q226" s="127"/>
      <c r="R226" s="127"/>
      <c r="S226" s="127"/>
      <c r="T226" s="127"/>
      <c r="U226" s="127"/>
      <c r="V226" s="127"/>
      <c r="W226" s="127"/>
      <c r="X226" s="127"/>
      <c r="Y226" s="127"/>
      <c r="Z226" s="127"/>
      <c r="AA226" s="127"/>
      <c r="AB226" s="127"/>
      <c r="AC226" s="127"/>
      <c r="AD226" s="127"/>
    </row>
    <row r="227" spans="2:30" ht="20.100000000000001" customHeight="1">
      <c r="B227" s="108">
        <v>224</v>
      </c>
      <c r="C227" s="256"/>
      <c r="D227" s="204" t="s">
        <v>308</v>
      </c>
      <c r="E227" s="204" t="s">
        <v>120</v>
      </c>
      <c r="F227" s="204" t="s">
        <v>309</v>
      </c>
      <c r="G227" s="205">
        <v>28</v>
      </c>
      <c r="H227" s="205">
        <v>28</v>
      </c>
      <c r="I227" s="206">
        <f t="shared" si="11"/>
        <v>1</v>
      </c>
      <c r="J227" s="207" t="str">
        <f t="shared" si="10"/>
        <v>수료</v>
      </c>
      <c r="K227" s="197"/>
      <c r="L227" s="127"/>
      <c r="M227" s="127"/>
      <c r="N227" s="127"/>
      <c r="O227" s="127"/>
      <c r="P227" s="127"/>
      <c r="Q227" s="127"/>
      <c r="R227" s="127"/>
      <c r="S227" s="127"/>
      <c r="T227" s="127"/>
      <c r="U227" s="127"/>
      <c r="V227" s="127"/>
      <c r="W227" s="127"/>
      <c r="X227" s="127"/>
      <c r="Y227" s="127"/>
      <c r="Z227" s="127"/>
      <c r="AA227" s="127"/>
      <c r="AB227" s="127"/>
      <c r="AC227" s="127"/>
      <c r="AD227" s="127"/>
    </row>
    <row r="228" spans="2:30" ht="20.100000000000001" customHeight="1">
      <c r="B228" s="108">
        <v>225</v>
      </c>
      <c r="C228" s="256"/>
      <c r="D228" s="204" t="s">
        <v>241</v>
      </c>
      <c r="E228" s="204" t="s">
        <v>120</v>
      </c>
      <c r="F228" s="204" t="s">
        <v>242</v>
      </c>
      <c r="G228" s="205">
        <v>28</v>
      </c>
      <c r="H228" s="205">
        <v>28</v>
      </c>
      <c r="I228" s="206">
        <f t="shared" si="11"/>
        <v>1</v>
      </c>
      <c r="J228" s="207" t="str">
        <f t="shared" si="10"/>
        <v>수료</v>
      </c>
      <c r="K228" s="197"/>
      <c r="L228" s="127"/>
      <c r="M228" s="127"/>
      <c r="N228" s="127"/>
      <c r="O228" s="127"/>
      <c r="P228" s="127"/>
      <c r="Q228" s="127"/>
      <c r="R228" s="127"/>
      <c r="S228" s="127"/>
      <c r="T228" s="127"/>
      <c r="U228" s="127"/>
      <c r="V228" s="127"/>
      <c r="W228" s="127"/>
      <c r="X228" s="127"/>
      <c r="Y228" s="127"/>
      <c r="Z228" s="127"/>
      <c r="AA228" s="127"/>
      <c r="AB228" s="127"/>
      <c r="AC228" s="127"/>
      <c r="AD228" s="127"/>
    </row>
    <row r="229" spans="2:30" ht="20.100000000000001" customHeight="1">
      <c r="B229" s="108">
        <v>226</v>
      </c>
      <c r="C229" s="256"/>
      <c r="D229" s="204" t="s">
        <v>208</v>
      </c>
      <c r="E229" s="204" t="s">
        <v>120</v>
      </c>
      <c r="F229" s="204" t="s">
        <v>209</v>
      </c>
      <c r="G229" s="205">
        <v>28</v>
      </c>
      <c r="H229" s="205">
        <v>25</v>
      </c>
      <c r="I229" s="206">
        <f t="shared" si="11"/>
        <v>0.8928571428571429</v>
      </c>
      <c r="J229" s="207" t="str">
        <f t="shared" si="10"/>
        <v>수료</v>
      </c>
      <c r="K229" s="197"/>
      <c r="L229" s="127"/>
      <c r="M229" s="127"/>
      <c r="N229" s="127"/>
      <c r="O229" s="127"/>
      <c r="P229" s="127"/>
      <c r="Q229" s="127"/>
      <c r="R229" s="127"/>
      <c r="S229" s="127"/>
      <c r="T229" s="127"/>
      <c r="U229" s="127"/>
      <c r="V229" s="127"/>
      <c r="W229" s="127"/>
      <c r="X229" s="127"/>
      <c r="Y229" s="127"/>
      <c r="Z229" s="127"/>
      <c r="AA229" s="127"/>
      <c r="AB229" s="127"/>
      <c r="AC229" s="127"/>
      <c r="AD229" s="127"/>
    </row>
    <row r="230" spans="2:30" ht="20.100000000000001" customHeight="1">
      <c r="B230" s="108">
        <v>227</v>
      </c>
      <c r="C230" s="256" t="s">
        <v>143</v>
      </c>
      <c r="D230" s="204" t="s">
        <v>151</v>
      </c>
      <c r="E230" s="204" t="s">
        <v>120</v>
      </c>
      <c r="F230" s="204" t="s">
        <v>125</v>
      </c>
      <c r="G230" s="205">
        <v>14</v>
      </c>
      <c r="H230" s="205">
        <v>13</v>
      </c>
      <c r="I230" s="206">
        <f t="shared" si="11"/>
        <v>0.9285714285714286</v>
      </c>
      <c r="J230" s="207" t="str">
        <f t="shared" si="10"/>
        <v>수료</v>
      </c>
      <c r="K230" s="197"/>
      <c r="L230" s="127"/>
      <c r="M230" s="127"/>
      <c r="N230" s="127"/>
      <c r="O230" s="127"/>
      <c r="P230" s="127"/>
      <c r="Q230" s="127"/>
      <c r="R230" s="127"/>
      <c r="S230" s="127"/>
      <c r="T230" s="127"/>
      <c r="U230" s="127"/>
      <c r="V230" s="127"/>
      <c r="W230" s="127"/>
      <c r="X230" s="127"/>
      <c r="Y230" s="127"/>
      <c r="Z230" s="127"/>
      <c r="AA230" s="127"/>
      <c r="AB230" s="127"/>
      <c r="AC230" s="127"/>
      <c r="AD230" s="127"/>
    </row>
    <row r="231" spans="2:30" ht="19.5" customHeight="1">
      <c r="B231" s="108">
        <v>228</v>
      </c>
      <c r="C231" s="256"/>
      <c r="D231" s="204" t="s">
        <v>677</v>
      </c>
      <c r="E231" s="204" t="s">
        <v>120</v>
      </c>
      <c r="F231" s="204" t="s">
        <v>680</v>
      </c>
      <c r="G231" s="205">
        <v>14</v>
      </c>
      <c r="H231" s="205">
        <v>12</v>
      </c>
      <c r="I231" s="206">
        <f t="shared" si="8"/>
        <v>0.8571428571428571</v>
      </c>
      <c r="J231" s="207" t="str">
        <f t="shared" si="10"/>
        <v>수료</v>
      </c>
      <c r="K231" s="197"/>
      <c r="L231" s="88"/>
      <c r="M231" s="88"/>
      <c r="N231" s="88"/>
      <c r="O231" s="88"/>
      <c r="P231" s="88"/>
      <c r="Q231" s="88"/>
      <c r="R231" s="88"/>
      <c r="S231" s="88"/>
      <c r="T231" s="88"/>
      <c r="U231" s="88"/>
      <c r="V231" s="88"/>
      <c r="W231" s="88"/>
      <c r="X231" s="88"/>
      <c r="Y231" s="88"/>
      <c r="Z231" s="88"/>
      <c r="AA231" s="88"/>
      <c r="AB231" s="88"/>
      <c r="AC231" s="88"/>
      <c r="AD231" s="88"/>
    </row>
    <row r="232" spans="2:30" ht="20.100000000000001" customHeight="1">
      <c r="B232" s="108">
        <v>229</v>
      </c>
      <c r="C232" s="256"/>
      <c r="D232" s="204" t="s">
        <v>678</v>
      </c>
      <c r="E232" s="204" t="s">
        <v>120</v>
      </c>
      <c r="F232" s="204" t="s">
        <v>681</v>
      </c>
      <c r="G232" s="205">
        <v>14</v>
      </c>
      <c r="H232" s="205">
        <v>3</v>
      </c>
      <c r="I232" s="206">
        <f t="shared" si="8"/>
        <v>0.21428571428571427</v>
      </c>
      <c r="J232" s="207" t="str">
        <f t="shared" si="10"/>
        <v>미수료</v>
      </c>
      <c r="K232" s="197"/>
      <c r="L232" s="88"/>
      <c r="M232" s="88"/>
      <c r="N232" s="88"/>
      <c r="O232" s="88"/>
      <c r="P232" s="88"/>
      <c r="Q232" s="88"/>
      <c r="R232" s="88"/>
      <c r="S232" s="88"/>
      <c r="T232" s="88"/>
      <c r="U232" s="88"/>
      <c r="V232" s="88"/>
      <c r="W232" s="88"/>
      <c r="X232" s="88"/>
      <c r="Y232" s="88"/>
      <c r="Z232" s="88"/>
      <c r="AA232" s="88"/>
      <c r="AB232" s="88"/>
      <c r="AC232" s="88"/>
      <c r="AD232" s="88"/>
    </row>
    <row r="233" spans="2:30" ht="20.100000000000001" customHeight="1">
      <c r="B233" s="108">
        <v>230</v>
      </c>
      <c r="C233" s="256"/>
      <c r="D233" s="204" t="s">
        <v>162</v>
      </c>
      <c r="E233" s="204" t="s">
        <v>120</v>
      </c>
      <c r="F233" s="204" t="s">
        <v>163</v>
      </c>
      <c r="G233" s="205">
        <v>14</v>
      </c>
      <c r="H233" s="205">
        <v>9</v>
      </c>
      <c r="I233" s="206">
        <f t="shared" si="8"/>
        <v>0.6428571428571429</v>
      </c>
      <c r="J233" s="207" t="str">
        <f t="shared" si="10"/>
        <v>미수료</v>
      </c>
      <c r="K233" s="197"/>
      <c r="L233" s="98"/>
      <c r="M233" s="98"/>
      <c r="N233" s="98"/>
      <c r="O233" s="98"/>
      <c r="P233" s="88"/>
      <c r="Q233" s="88"/>
      <c r="R233" s="88"/>
      <c r="S233" s="88"/>
      <c r="T233" s="88"/>
      <c r="U233" s="88"/>
      <c r="V233" s="88"/>
      <c r="W233" s="88"/>
      <c r="X233" s="88"/>
      <c r="Y233" s="88"/>
      <c r="Z233" s="88"/>
      <c r="AA233" s="88"/>
      <c r="AB233" s="88"/>
      <c r="AC233" s="88"/>
      <c r="AD233" s="88"/>
    </row>
    <row r="234" spans="2:30" ht="20.100000000000001" customHeight="1">
      <c r="B234" s="108">
        <v>231</v>
      </c>
      <c r="C234" s="256"/>
      <c r="D234" s="204" t="s">
        <v>310</v>
      </c>
      <c r="E234" s="204" t="s">
        <v>120</v>
      </c>
      <c r="F234" s="204" t="s">
        <v>314</v>
      </c>
      <c r="G234" s="205">
        <v>14</v>
      </c>
      <c r="H234" s="205">
        <v>12</v>
      </c>
      <c r="I234" s="206">
        <f t="shared" si="8"/>
        <v>0.8571428571428571</v>
      </c>
      <c r="J234" s="207" t="str">
        <f t="shared" si="10"/>
        <v>수료</v>
      </c>
      <c r="K234" s="197"/>
      <c r="L234" s="88"/>
      <c r="M234" s="88"/>
      <c r="N234" s="88"/>
      <c r="O234" s="88"/>
      <c r="P234" s="88"/>
      <c r="Q234" s="88"/>
      <c r="R234" s="88"/>
      <c r="S234" s="88"/>
      <c r="T234" s="88"/>
      <c r="U234" s="88"/>
      <c r="V234" s="88"/>
      <c r="W234" s="88"/>
      <c r="X234" s="88"/>
      <c r="Y234" s="88"/>
      <c r="Z234" s="88"/>
      <c r="AA234" s="88"/>
      <c r="AB234" s="88"/>
      <c r="AC234" s="88"/>
      <c r="AD234" s="88"/>
    </row>
    <row r="235" spans="2:30" ht="20.100000000000001" customHeight="1">
      <c r="B235" s="108">
        <v>232</v>
      </c>
      <c r="C235" s="256"/>
      <c r="D235" s="204" t="s">
        <v>243</v>
      </c>
      <c r="E235" s="204" t="s">
        <v>120</v>
      </c>
      <c r="F235" s="204" t="s">
        <v>244</v>
      </c>
      <c r="G235" s="205">
        <v>14</v>
      </c>
      <c r="H235" s="205">
        <v>13</v>
      </c>
      <c r="I235" s="206">
        <f t="shared" si="8"/>
        <v>0.9285714285714286</v>
      </c>
      <c r="J235" s="207" t="str">
        <f t="shared" si="10"/>
        <v>수료</v>
      </c>
      <c r="K235" s="197"/>
      <c r="L235" s="88"/>
      <c r="M235" s="88"/>
      <c r="N235" s="88"/>
      <c r="O235" s="88"/>
      <c r="P235" s="88"/>
      <c r="Q235" s="88"/>
      <c r="R235" s="88"/>
      <c r="S235" s="88"/>
      <c r="T235" s="88"/>
      <c r="U235" s="88"/>
      <c r="V235" s="88"/>
      <c r="W235" s="88"/>
      <c r="X235" s="88"/>
      <c r="Y235" s="88"/>
      <c r="Z235" s="88"/>
      <c r="AA235" s="88"/>
      <c r="AB235" s="88"/>
      <c r="AC235" s="88"/>
      <c r="AD235" s="88"/>
    </row>
    <row r="236" spans="2:30" ht="20.100000000000001" customHeight="1">
      <c r="B236" s="108">
        <v>233</v>
      </c>
      <c r="C236" s="256"/>
      <c r="D236" s="204" t="s">
        <v>311</v>
      </c>
      <c r="E236" s="204" t="s">
        <v>120</v>
      </c>
      <c r="F236" s="204" t="s">
        <v>315</v>
      </c>
      <c r="G236" s="205">
        <v>14</v>
      </c>
      <c r="H236" s="205">
        <v>8</v>
      </c>
      <c r="I236" s="206">
        <f t="shared" ref="I236:I253" si="12">H236/G236</f>
        <v>0.5714285714285714</v>
      </c>
      <c r="J236" s="207" t="str">
        <f t="shared" si="10"/>
        <v>미수료</v>
      </c>
      <c r="K236" s="197"/>
      <c r="N236" s="88"/>
      <c r="O236" s="88"/>
      <c r="P236" s="88"/>
      <c r="Q236" s="88"/>
      <c r="R236" s="88"/>
      <c r="S236" s="88"/>
      <c r="T236" s="88"/>
      <c r="U236" s="88"/>
      <c r="V236" s="88"/>
      <c r="W236" s="88"/>
      <c r="X236" s="88"/>
      <c r="Y236" s="88"/>
      <c r="Z236" s="88"/>
      <c r="AA236" s="88"/>
      <c r="AB236" s="88"/>
      <c r="AC236" s="88"/>
      <c r="AD236" s="88"/>
    </row>
    <row r="237" spans="2:30" ht="20.100000000000001" customHeight="1">
      <c r="B237" s="108">
        <v>234</v>
      </c>
      <c r="C237" s="256"/>
      <c r="D237" s="204" t="s">
        <v>313</v>
      </c>
      <c r="E237" s="204" t="s">
        <v>120</v>
      </c>
      <c r="F237" s="204" t="s">
        <v>316</v>
      </c>
      <c r="G237" s="205">
        <v>14</v>
      </c>
      <c r="H237" s="205">
        <v>13</v>
      </c>
      <c r="I237" s="206">
        <f t="shared" si="12"/>
        <v>0.9285714285714286</v>
      </c>
      <c r="J237" s="207" t="str">
        <f t="shared" si="10"/>
        <v>수료</v>
      </c>
      <c r="K237" s="197"/>
      <c r="N237" s="88"/>
      <c r="O237" s="88"/>
      <c r="P237" s="88"/>
      <c r="Q237" s="88"/>
      <c r="R237" s="88"/>
      <c r="S237" s="88"/>
      <c r="T237" s="88"/>
      <c r="U237" s="88"/>
      <c r="V237" s="88"/>
      <c r="W237" s="88"/>
      <c r="X237" s="88"/>
      <c r="Y237" s="88"/>
      <c r="Z237" s="88"/>
      <c r="AA237" s="88"/>
      <c r="AB237" s="88"/>
      <c r="AC237" s="88"/>
      <c r="AD237" s="88"/>
    </row>
    <row r="238" spans="2:30" ht="20.100000000000001" customHeight="1">
      <c r="B238" s="108">
        <v>235</v>
      </c>
      <c r="C238" s="256"/>
      <c r="D238" s="204" t="s">
        <v>183</v>
      </c>
      <c r="E238" s="204" t="s">
        <v>120</v>
      </c>
      <c r="F238" s="204" t="s">
        <v>682</v>
      </c>
      <c r="G238" s="205">
        <v>14</v>
      </c>
      <c r="H238" s="205">
        <v>13</v>
      </c>
      <c r="I238" s="206">
        <f t="shared" si="12"/>
        <v>0.9285714285714286</v>
      </c>
      <c r="J238" s="207" t="str">
        <f t="shared" si="10"/>
        <v>수료</v>
      </c>
      <c r="K238" s="197"/>
      <c r="N238" s="88"/>
      <c r="O238" s="88"/>
      <c r="P238" s="88"/>
      <c r="Q238" s="88"/>
      <c r="R238" s="88"/>
      <c r="S238" s="88"/>
      <c r="T238" s="88"/>
      <c r="U238" s="88"/>
      <c r="V238" s="88"/>
      <c r="W238" s="88"/>
      <c r="X238" s="88"/>
      <c r="Y238" s="88"/>
      <c r="Z238" s="88"/>
      <c r="AA238" s="88"/>
      <c r="AB238" s="88"/>
      <c r="AC238" s="88"/>
      <c r="AD238" s="88"/>
    </row>
    <row r="239" spans="2:30" ht="20.100000000000001" customHeight="1">
      <c r="B239" s="108">
        <v>236</v>
      </c>
      <c r="C239" s="256"/>
      <c r="D239" s="204" t="s">
        <v>245</v>
      </c>
      <c r="E239" s="204" t="s">
        <v>120</v>
      </c>
      <c r="F239" s="204" t="s">
        <v>246</v>
      </c>
      <c r="G239" s="205">
        <v>14</v>
      </c>
      <c r="H239" s="205">
        <v>14</v>
      </c>
      <c r="I239" s="206">
        <f t="shared" si="12"/>
        <v>1</v>
      </c>
      <c r="J239" s="207" t="str">
        <f t="shared" si="10"/>
        <v>수료</v>
      </c>
      <c r="K239" s="197"/>
      <c r="N239" s="88"/>
      <c r="O239" s="88"/>
      <c r="P239" s="88"/>
      <c r="Q239" s="88"/>
      <c r="R239" s="88"/>
      <c r="S239" s="88"/>
      <c r="T239" s="88"/>
      <c r="U239" s="88"/>
      <c r="V239" s="88"/>
      <c r="W239" s="88"/>
      <c r="X239" s="88"/>
      <c r="Y239" s="88"/>
      <c r="Z239" s="88"/>
      <c r="AA239" s="88"/>
      <c r="AB239" s="88"/>
      <c r="AC239" s="88"/>
      <c r="AD239" s="88"/>
    </row>
    <row r="240" spans="2:30" ht="20.100000000000001" customHeight="1">
      <c r="B240" s="108">
        <v>237</v>
      </c>
      <c r="C240" s="256"/>
      <c r="D240" s="204" t="s">
        <v>679</v>
      </c>
      <c r="E240" s="204" t="s">
        <v>120</v>
      </c>
      <c r="F240" s="204" t="s">
        <v>683</v>
      </c>
      <c r="G240" s="205">
        <v>14</v>
      </c>
      <c r="H240" s="205">
        <v>13</v>
      </c>
      <c r="I240" s="206">
        <f t="shared" ref="I240:I248" si="13">H240/G240</f>
        <v>0.9285714285714286</v>
      </c>
      <c r="J240" s="207" t="str">
        <f t="shared" si="10"/>
        <v>수료</v>
      </c>
      <c r="K240" s="197"/>
      <c r="N240" s="88"/>
      <c r="O240" s="88"/>
      <c r="P240" s="88"/>
      <c r="Q240" s="88"/>
      <c r="R240" s="88"/>
      <c r="S240" s="88"/>
      <c r="T240" s="88"/>
      <c r="U240" s="88"/>
      <c r="V240" s="88"/>
      <c r="W240" s="88"/>
      <c r="X240" s="88"/>
      <c r="Y240" s="88"/>
      <c r="Z240" s="88"/>
      <c r="AA240" s="88"/>
      <c r="AB240" s="88"/>
      <c r="AC240" s="88"/>
      <c r="AD240" s="88"/>
    </row>
    <row r="241" spans="2:30" ht="20.100000000000001" customHeight="1">
      <c r="B241" s="108">
        <v>238</v>
      </c>
      <c r="C241" s="256"/>
      <c r="D241" s="204" t="s">
        <v>247</v>
      </c>
      <c r="E241" s="204" t="s">
        <v>120</v>
      </c>
      <c r="F241" s="204" t="s">
        <v>248</v>
      </c>
      <c r="G241" s="205">
        <v>14</v>
      </c>
      <c r="H241" s="205">
        <v>13</v>
      </c>
      <c r="I241" s="206">
        <f>H241/G241</f>
        <v>0.9285714285714286</v>
      </c>
      <c r="J241" s="207" t="str">
        <f t="shared" si="10"/>
        <v>수료</v>
      </c>
      <c r="K241" s="197"/>
      <c r="L241" s="128"/>
      <c r="M241" s="128"/>
      <c r="N241" s="127"/>
      <c r="O241" s="127"/>
      <c r="P241" s="127"/>
      <c r="Q241" s="127"/>
      <c r="R241" s="127"/>
      <c r="S241" s="127"/>
      <c r="T241" s="127"/>
      <c r="U241" s="127"/>
      <c r="V241" s="127"/>
      <c r="W241" s="127"/>
      <c r="X241" s="127"/>
      <c r="Y241" s="127"/>
      <c r="Z241" s="127"/>
      <c r="AA241" s="127"/>
      <c r="AB241" s="127"/>
      <c r="AC241" s="127"/>
      <c r="AD241" s="127"/>
    </row>
    <row r="242" spans="2:30" ht="20.100000000000001" customHeight="1">
      <c r="B242" s="108">
        <v>239</v>
      </c>
      <c r="C242" s="254" t="s">
        <v>471</v>
      </c>
      <c r="D242" s="204" t="s">
        <v>684</v>
      </c>
      <c r="E242" s="204" t="s">
        <v>120</v>
      </c>
      <c r="F242" s="204" t="s">
        <v>691</v>
      </c>
      <c r="G242" s="205">
        <v>14</v>
      </c>
      <c r="H242" s="205">
        <v>14</v>
      </c>
      <c r="I242" s="206">
        <f t="shared" si="13"/>
        <v>1</v>
      </c>
      <c r="J242" s="207" t="str">
        <f t="shared" si="10"/>
        <v>수료</v>
      </c>
      <c r="K242" s="197"/>
      <c r="N242" s="88"/>
      <c r="O242" s="88"/>
      <c r="P242" s="88"/>
      <c r="Q242" s="88"/>
      <c r="R242" s="88"/>
      <c r="S242" s="88"/>
      <c r="T242" s="88"/>
      <c r="U242" s="88"/>
      <c r="V242" s="88"/>
      <c r="W242" s="88"/>
      <c r="X242" s="88"/>
      <c r="Y242" s="88"/>
      <c r="Z242" s="88"/>
      <c r="AA242" s="88"/>
      <c r="AB242" s="88"/>
      <c r="AC242" s="88"/>
      <c r="AD242" s="88"/>
    </row>
    <row r="243" spans="2:30" ht="20.100000000000001" customHeight="1">
      <c r="B243" s="108">
        <v>240</v>
      </c>
      <c r="C243" s="254"/>
      <c r="D243" s="204" t="s">
        <v>685</v>
      </c>
      <c r="E243" s="204" t="s">
        <v>120</v>
      </c>
      <c r="F243" s="204" t="s">
        <v>692</v>
      </c>
      <c r="G243" s="205">
        <v>14</v>
      </c>
      <c r="H243" s="205">
        <v>10</v>
      </c>
      <c r="I243" s="206">
        <f t="shared" si="13"/>
        <v>0.7142857142857143</v>
      </c>
      <c r="J243" s="207" t="str">
        <f t="shared" si="10"/>
        <v>수료</v>
      </c>
      <c r="K243" s="197"/>
      <c r="N243" s="88"/>
      <c r="O243" s="88"/>
      <c r="P243" s="88"/>
      <c r="Q243" s="88"/>
      <c r="R243" s="88"/>
      <c r="S243" s="88"/>
      <c r="T243" s="88"/>
      <c r="U243" s="88"/>
      <c r="V243" s="88"/>
      <c r="W243" s="88"/>
      <c r="X243" s="88"/>
      <c r="Y243" s="88"/>
      <c r="Z243" s="88"/>
      <c r="AA243" s="88"/>
      <c r="AB243" s="88"/>
      <c r="AC243" s="88"/>
      <c r="AD243" s="88"/>
    </row>
    <row r="244" spans="2:30" ht="20.100000000000001" customHeight="1">
      <c r="B244" s="108">
        <v>241</v>
      </c>
      <c r="C244" s="254"/>
      <c r="D244" s="204" t="s">
        <v>272</v>
      </c>
      <c r="E244" s="204" t="s">
        <v>120</v>
      </c>
      <c r="F244" s="204" t="s">
        <v>282</v>
      </c>
      <c r="G244" s="205">
        <v>14</v>
      </c>
      <c r="H244" s="205">
        <v>13</v>
      </c>
      <c r="I244" s="206">
        <f t="shared" si="13"/>
        <v>0.9285714285714286</v>
      </c>
      <c r="J244" s="207" t="str">
        <f t="shared" si="10"/>
        <v>수료</v>
      </c>
      <c r="K244" s="197"/>
      <c r="N244" s="88"/>
      <c r="O244" s="88"/>
      <c r="P244" s="88"/>
      <c r="Q244" s="88"/>
      <c r="R244" s="88"/>
      <c r="S244" s="88"/>
      <c r="T244" s="88"/>
      <c r="U244" s="88"/>
      <c r="V244" s="88"/>
      <c r="W244" s="88"/>
      <c r="X244" s="88"/>
      <c r="Y244" s="88"/>
      <c r="Z244" s="88"/>
      <c r="AA244" s="88"/>
      <c r="AB244" s="88"/>
      <c r="AC244" s="88"/>
      <c r="AD244" s="88"/>
    </row>
    <row r="245" spans="2:30" ht="20.100000000000001" customHeight="1">
      <c r="B245" s="108">
        <v>242</v>
      </c>
      <c r="C245" s="254"/>
      <c r="D245" s="204" t="s">
        <v>686</v>
      </c>
      <c r="E245" s="204" t="s">
        <v>120</v>
      </c>
      <c r="F245" s="204" t="s">
        <v>693</v>
      </c>
      <c r="G245" s="205">
        <v>14</v>
      </c>
      <c r="H245" s="205">
        <v>13</v>
      </c>
      <c r="I245" s="206">
        <f t="shared" si="13"/>
        <v>0.9285714285714286</v>
      </c>
      <c r="J245" s="207" t="str">
        <f t="shared" si="10"/>
        <v>수료</v>
      </c>
      <c r="K245" s="197"/>
      <c r="N245" s="88"/>
      <c r="O245" s="88"/>
      <c r="P245" s="88"/>
      <c r="Q245" s="88"/>
      <c r="R245" s="88"/>
      <c r="S245" s="88"/>
      <c r="T245" s="88"/>
      <c r="U245" s="88"/>
      <c r="V245" s="88"/>
      <c r="W245" s="88"/>
      <c r="X245" s="88"/>
      <c r="Y245" s="88"/>
      <c r="Z245" s="88"/>
      <c r="AA245" s="88"/>
      <c r="AB245" s="88"/>
      <c r="AC245" s="88"/>
      <c r="AD245" s="88"/>
    </row>
    <row r="246" spans="2:30" ht="20.100000000000001" customHeight="1">
      <c r="B246" s="108">
        <v>243</v>
      </c>
      <c r="C246" s="254"/>
      <c r="D246" s="204" t="s">
        <v>148</v>
      </c>
      <c r="E246" s="204" t="s">
        <v>122</v>
      </c>
      <c r="F246" s="204" t="s">
        <v>149</v>
      </c>
      <c r="G246" s="205">
        <v>14</v>
      </c>
      <c r="H246" s="205">
        <v>14</v>
      </c>
      <c r="I246" s="206">
        <f t="shared" si="13"/>
        <v>1</v>
      </c>
      <c r="J246" s="207" t="str">
        <f t="shared" si="10"/>
        <v>수료</v>
      </c>
      <c r="K246" s="197"/>
      <c r="N246" s="88"/>
      <c r="O246" s="88"/>
      <c r="P246" s="88"/>
      <c r="Q246" s="88"/>
      <c r="R246" s="88"/>
      <c r="S246" s="88"/>
      <c r="T246" s="88"/>
      <c r="U246" s="88"/>
      <c r="V246" s="88"/>
      <c r="W246" s="88"/>
      <c r="X246" s="88"/>
      <c r="Y246" s="88"/>
      <c r="Z246" s="88"/>
      <c r="AA246" s="88"/>
      <c r="AB246" s="88"/>
      <c r="AC246" s="88"/>
      <c r="AD246" s="88"/>
    </row>
    <row r="247" spans="2:30" ht="20.100000000000001" customHeight="1">
      <c r="B247" s="108">
        <v>244</v>
      </c>
      <c r="C247" s="254"/>
      <c r="D247" s="204" t="s">
        <v>179</v>
      </c>
      <c r="E247" s="204" t="s">
        <v>120</v>
      </c>
      <c r="F247" s="204" t="s">
        <v>180</v>
      </c>
      <c r="G247" s="205">
        <v>14</v>
      </c>
      <c r="H247" s="205">
        <v>3</v>
      </c>
      <c r="I247" s="206">
        <f t="shared" si="13"/>
        <v>0.21428571428571427</v>
      </c>
      <c r="J247" s="207" t="str">
        <f t="shared" si="10"/>
        <v>미수료</v>
      </c>
      <c r="K247" s="197"/>
      <c r="N247" s="88"/>
      <c r="O247" s="88"/>
      <c r="P247" s="88"/>
      <c r="Q247" s="88"/>
      <c r="R247" s="88"/>
      <c r="S247" s="88"/>
      <c r="T247" s="88"/>
      <c r="U247" s="88"/>
      <c r="V247" s="88"/>
      <c r="W247" s="88"/>
      <c r="X247" s="88"/>
      <c r="Y247" s="88"/>
      <c r="Z247" s="88"/>
      <c r="AA247" s="88"/>
      <c r="AB247" s="88"/>
      <c r="AC247" s="88"/>
      <c r="AD247" s="88"/>
    </row>
    <row r="248" spans="2:30" ht="20.100000000000001" customHeight="1">
      <c r="B248" s="108">
        <v>245</v>
      </c>
      <c r="C248" s="254"/>
      <c r="D248" s="204" t="s">
        <v>292</v>
      </c>
      <c r="E248" s="204" t="s">
        <v>120</v>
      </c>
      <c r="F248" s="204" t="s">
        <v>294</v>
      </c>
      <c r="G248" s="205">
        <v>14</v>
      </c>
      <c r="H248" s="205">
        <v>12</v>
      </c>
      <c r="I248" s="206">
        <f t="shared" si="13"/>
        <v>0.8571428571428571</v>
      </c>
      <c r="J248" s="207" t="str">
        <f t="shared" si="10"/>
        <v>수료</v>
      </c>
      <c r="K248" s="197"/>
      <c r="N248" s="88"/>
      <c r="O248" s="88"/>
      <c r="P248" s="88"/>
      <c r="Q248" s="88"/>
      <c r="R248" s="88"/>
      <c r="S248" s="88"/>
      <c r="T248" s="88"/>
      <c r="U248" s="88"/>
      <c r="V248" s="88"/>
      <c r="W248" s="88"/>
      <c r="X248" s="88"/>
      <c r="Y248" s="88"/>
      <c r="Z248" s="88"/>
      <c r="AA248" s="88"/>
      <c r="AB248" s="88"/>
      <c r="AC248" s="88"/>
      <c r="AD248" s="88"/>
    </row>
    <row r="249" spans="2:30" ht="20.100000000000001" customHeight="1">
      <c r="B249" s="108">
        <v>246</v>
      </c>
      <c r="C249" s="254"/>
      <c r="D249" s="204" t="s">
        <v>317</v>
      </c>
      <c r="E249" s="204" t="s">
        <v>120</v>
      </c>
      <c r="F249" s="204" t="s">
        <v>319</v>
      </c>
      <c r="G249" s="205">
        <v>14</v>
      </c>
      <c r="H249" s="205">
        <v>12</v>
      </c>
      <c r="I249" s="206">
        <f t="shared" si="12"/>
        <v>0.8571428571428571</v>
      </c>
      <c r="J249" s="207" t="str">
        <f t="shared" si="10"/>
        <v>수료</v>
      </c>
      <c r="K249" s="197"/>
      <c r="N249" s="88"/>
      <c r="O249" s="88"/>
      <c r="P249" s="88"/>
      <c r="Q249" s="88"/>
      <c r="R249" s="88"/>
      <c r="S249" s="88"/>
      <c r="T249" s="88"/>
      <c r="U249" s="88"/>
      <c r="V249" s="88"/>
      <c r="W249" s="88"/>
      <c r="X249" s="88"/>
      <c r="Y249" s="88"/>
      <c r="Z249" s="88"/>
      <c r="AA249" s="88"/>
      <c r="AB249" s="88"/>
      <c r="AC249" s="88"/>
      <c r="AD249" s="88"/>
    </row>
    <row r="250" spans="2:30" ht="20.100000000000001" customHeight="1">
      <c r="B250" s="108">
        <v>247</v>
      </c>
      <c r="C250" s="254"/>
      <c r="D250" s="204" t="s">
        <v>687</v>
      </c>
      <c r="E250" s="204" t="s">
        <v>122</v>
      </c>
      <c r="F250" s="204" t="s">
        <v>694</v>
      </c>
      <c r="G250" s="205">
        <v>14</v>
      </c>
      <c r="H250" s="205">
        <v>4</v>
      </c>
      <c r="I250" s="206">
        <f t="shared" si="12"/>
        <v>0.2857142857142857</v>
      </c>
      <c r="J250" s="207" t="str">
        <f t="shared" si="10"/>
        <v>미수료</v>
      </c>
      <c r="K250" s="197"/>
      <c r="N250" s="88"/>
      <c r="O250" s="88"/>
      <c r="P250" s="88"/>
      <c r="Q250" s="88"/>
      <c r="R250" s="88"/>
      <c r="S250" s="88"/>
      <c r="T250" s="88"/>
      <c r="U250" s="88"/>
      <c r="V250" s="88"/>
      <c r="W250" s="88"/>
      <c r="X250" s="88"/>
      <c r="Y250" s="88"/>
      <c r="Z250" s="88"/>
      <c r="AA250" s="88"/>
      <c r="AB250" s="88"/>
      <c r="AC250" s="88"/>
      <c r="AD250" s="88"/>
    </row>
    <row r="251" spans="2:30" ht="20.100000000000001" customHeight="1">
      <c r="B251" s="108">
        <v>248</v>
      </c>
      <c r="C251" s="254"/>
      <c r="D251" s="204" t="s">
        <v>688</v>
      </c>
      <c r="E251" s="204" t="s">
        <v>122</v>
      </c>
      <c r="F251" s="204" t="s">
        <v>695</v>
      </c>
      <c r="G251" s="205">
        <v>14</v>
      </c>
      <c r="H251" s="205">
        <v>13</v>
      </c>
      <c r="I251" s="206">
        <f t="shared" si="12"/>
        <v>0.9285714285714286</v>
      </c>
      <c r="J251" s="207" t="str">
        <f t="shared" si="10"/>
        <v>수료</v>
      </c>
      <c r="K251" s="197"/>
      <c r="N251" s="88"/>
      <c r="O251" s="88"/>
      <c r="P251" s="88"/>
      <c r="Q251" s="88"/>
      <c r="R251" s="88"/>
      <c r="S251" s="88"/>
      <c r="T251" s="88"/>
      <c r="U251" s="88"/>
      <c r="V251" s="88"/>
      <c r="W251" s="88"/>
      <c r="X251" s="88"/>
      <c r="Y251" s="88"/>
      <c r="Z251" s="88"/>
      <c r="AA251" s="88"/>
      <c r="AB251" s="88"/>
      <c r="AC251" s="88"/>
      <c r="AD251" s="88"/>
    </row>
    <row r="252" spans="2:30" ht="20.100000000000001" customHeight="1">
      <c r="B252" s="108">
        <v>249</v>
      </c>
      <c r="C252" s="254"/>
      <c r="D252" s="204" t="s">
        <v>322</v>
      </c>
      <c r="E252" s="204" t="s">
        <v>122</v>
      </c>
      <c r="F252" s="204" t="s">
        <v>324</v>
      </c>
      <c r="G252" s="205">
        <v>14</v>
      </c>
      <c r="H252" s="205">
        <v>13</v>
      </c>
      <c r="I252" s="206">
        <f t="shared" si="12"/>
        <v>0.9285714285714286</v>
      </c>
      <c r="J252" s="207" t="str">
        <f t="shared" si="10"/>
        <v>수료</v>
      </c>
      <c r="K252" s="197"/>
      <c r="N252" s="88"/>
      <c r="O252" s="88"/>
      <c r="P252" s="88"/>
      <c r="Q252" s="88"/>
      <c r="R252" s="88"/>
      <c r="S252" s="88"/>
      <c r="T252" s="88"/>
      <c r="U252" s="88"/>
      <c r="V252" s="88"/>
      <c r="W252" s="88"/>
      <c r="X252" s="88"/>
      <c r="Y252" s="88"/>
      <c r="Z252" s="88"/>
      <c r="AA252" s="88"/>
      <c r="AB252" s="88"/>
      <c r="AC252" s="88"/>
      <c r="AD252" s="88"/>
    </row>
    <row r="253" spans="2:30" ht="20.100000000000001" customHeight="1">
      <c r="B253" s="108">
        <v>250</v>
      </c>
      <c r="C253" s="254"/>
      <c r="D253" s="204" t="s">
        <v>199</v>
      </c>
      <c r="E253" s="204" t="s">
        <v>120</v>
      </c>
      <c r="F253" s="204" t="s">
        <v>200</v>
      </c>
      <c r="G253" s="205">
        <v>14</v>
      </c>
      <c r="H253" s="205">
        <v>14</v>
      </c>
      <c r="I253" s="206">
        <f t="shared" si="12"/>
        <v>1</v>
      </c>
      <c r="J253" s="207" t="str">
        <f t="shared" si="10"/>
        <v>수료</v>
      </c>
      <c r="K253" s="197"/>
      <c r="N253" s="88"/>
      <c r="O253" s="88"/>
      <c r="P253" s="88"/>
      <c r="Q253" s="88"/>
      <c r="R253" s="88"/>
      <c r="S253" s="88"/>
      <c r="T253" s="88"/>
      <c r="U253" s="88"/>
      <c r="V253" s="88"/>
      <c r="W253" s="88"/>
      <c r="X253" s="88"/>
      <c r="Y253" s="88"/>
      <c r="Z253" s="88"/>
      <c r="AA253" s="88"/>
      <c r="AB253" s="88"/>
      <c r="AC253" s="88"/>
      <c r="AD253" s="88"/>
    </row>
    <row r="254" spans="2:30" ht="20.100000000000001" customHeight="1">
      <c r="B254" s="108">
        <v>251</v>
      </c>
      <c r="C254" s="254"/>
      <c r="D254" s="204" t="s">
        <v>689</v>
      </c>
      <c r="E254" s="204" t="s">
        <v>120</v>
      </c>
      <c r="F254" s="204" t="s">
        <v>589</v>
      </c>
      <c r="G254" s="205">
        <v>14</v>
      </c>
      <c r="H254" s="205">
        <v>11</v>
      </c>
      <c r="I254" s="206">
        <f t="shared" ref="I254:I265" si="14">H254/G254</f>
        <v>0.7857142857142857</v>
      </c>
      <c r="J254" s="207" t="str">
        <f t="shared" si="10"/>
        <v>수료</v>
      </c>
    </row>
    <row r="255" spans="2:30" ht="20.100000000000001" customHeight="1">
      <c r="B255" s="108">
        <v>252</v>
      </c>
      <c r="C255" s="254"/>
      <c r="D255" s="204" t="s">
        <v>690</v>
      </c>
      <c r="E255" s="204" t="s">
        <v>120</v>
      </c>
      <c r="F255" s="204" t="s">
        <v>696</v>
      </c>
      <c r="G255" s="205">
        <v>14</v>
      </c>
      <c r="H255" s="205">
        <v>14</v>
      </c>
      <c r="I255" s="206">
        <f t="shared" si="14"/>
        <v>1</v>
      </c>
      <c r="J255" s="207" t="str">
        <f t="shared" si="10"/>
        <v>수료</v>
      </c>
    </row>
    <row r="256" spans="2:30" ht="20.100000000000001" customHeight="1">
      <c r="B256" s="108">
        <v>253</v>
      </c>
      <c r="C256" s="254" t="s">
        <v>145</v>
      </c>
      <c r="D256" s="204" t="s">
        <v>697</v>
      </c>
      <c r="E256" s="204" t="s">
        <v>122</v>
      </c>
      <c r="F256" s="204" t="s">
        <v>704</v>
      </c>
      <c r="G256" s="205">
        <v>28</v>
      </c>
      <c r="H256" s="205">
        <v>27</v>
      </c>
      <c r="I256" s="206">
        <f t="shared" si="14"/>
        <v>0.9642857142857143</v>
      </c>
      <c r="J256" s="207" t="str">
        <f t="shared" si="10"/>
        <v>수료</v>
      </c>
    </row>
    <row r="257" spans="2:10" ht="20.100000000000001" customHeight="1">
      <c r="B257" s="108">
        <v>254</v>
      </c>
      <c r="C257" s="254"/>
      <c r="D257" s="204" t="s">
        <v>698</v>
      </c>
      <c r="E257" s="204" t="s">
        <v>120</v>
      </c>
      <c r="F257" s="204" t="s">
        <v>705</v>
      </c>
      <c r="G257" s="205">
        <v>28</v>
      </c>
      <c r="H257" s="205">
        <v>28</v>
      </c>
      <c r="I257" s="206">
        <f t="shared" si="14"/>
        <v>1</v>
      </c>
      <c r="J257" s="207" t="str">
        <f t="shared" si="10"/>
        <v>수료</v>
      </c>
    </row>
    <row r="258" spans="2:10" ht="20.100000000000001" customHeight="1">
      <c r="B258" s="108">
        <v>255</v>
      </c>
      <c r="C258" s="254"/>
      <c r="D258" s="204" t="s">
        <v>170</v>
      </c>
      <c r="E258" s="204" t="s">
        <v>120</v>
      </c>
      <c r="F258" s="204" t="s">
        <v>171</v>
      </c>
      <c r="G258" s="205">
        <v>28</v>
      </c>
      <c r="H258" s="205">
        <v>28</v>
      </c>
      <c r="I258" s="206">
        <f t="shared" si="14"/>
        <v>1</v>
      </c>
      <c r="J258" s="207" t="str">
        <f t="shared" si="10"/>
        <v>수료</v>
      </c>
    </row>
    <row r="259" spans="2:10" ht="20.100000000000001" customHeight="1">
      <c r="B259" s="108">
        <v>256</v>
      </c>
      <c r="C259" s="254"/>
      <c r="D259" s="204" t="s">
        <v>699</v>
      </c>
      <c r="E259" s="204" t="s">
        <v>122</v>
      </c>
      <c r="F259" s="204" t="s">
        <v>706</v>
      </c>
      <c r="G259" s="205">
        <v>28</v>
      </c>
      <c r="H259" s="205">
        <v>28</v>
      </c>
      <c r="I259" s="206">
        <f t="shared" si="14"/>
        <v>1</v>
      </c>
      <c r="J259" s="207" t="str">
        <f t="shared" si="10"/>
        <v>수료</v>
      </c>
    </row>
    <row r="260" spans="2:10" ht="20.100000000000001" customHeight="1">
      <c r="B260" s="108">
        <v>257</v>
      </c>
      <c r="C260" s="254"/>
      <c r="D260" s="204" t="s">
        <v>527</v>
      </c>
      <c r="E260" s="204" t="s">
        <v>122</v>
      </c>
      <c r="F260" s="204" t="s">
        <v>536</v>
      </c>
      <c r="G260" s="205">
        <v>28</v>
      </c>
      <c r="H260" s="205">
        <v>28</v>
      </c>
      <c r="I260" s="206">
        <f t="shared" si="14"/>
        <v>1</v>
      </c>
      <c r="J260" s="207" t="str">
        <f t="shared" si="10"/>
        <v>수료</v>
      </c>
    </row>
    <row r="261" spans="2:10" ht="20.100000000000001" customHeight="1">
      <c r="B261" s="108">
        <v>258</v>
      </c>
      <c r="C261" s="254"/>
      <c r="D261" s="204" t="s">
        <v>528</v>
      </c>
      <c r="E261" s="204" t="s">
        <v>122</v>
      </c>
      <c r="F261" s="204" t="s">
        <v>537</v>
      </c>
      <c r="G261" s="205">
        <v>28</v>
      </c>
      <c r="H261" s="205">
        <v>27</v>
      </c>
      <c r="I261" s="206">
        <f t="shared" si="14"/>
        <v>0.9642857142857143</v>
      </c>
      <c r="J261" s="207" t="str">
        <f t="shared" si="10"/>
        <v>수료</v>
      </c>
    </row>
    <row r="262" spans="2:10" ht="20.100000000000001" customHeight="1">
      <c r="B262" s="108">
        <v>259</v>
      </c>
      <c r="C262" s="254"/>
      <c r="D262" s="204" t="s">
        <v>700</v>
      </c>
      <c r="E262" s="204" t="s">
        <v>120</v>
      </c>
      <c r="F262" s="204" t="s">
        <v>707</v>
      </c>
      <c r="G262" s="205">
        <v>28</v>
      </c>
      <c r="H262" s="205">
        <v>28</v>
      </c>
      <c r="I262" s="206">
        <f t="shared" si="14"/>
        <v>1</v>
      </c>
      <c r="J262" s="207" t="str">
        <f t="shared" si="10"/>
        <v>수료</v>
      </c>
    </row>
    <row r="263" spans="2:10" ht="20.100000000000001" customHeight="1">
      <c r="B263" s="108">
        <v>260</v>
      </c>
      <c r="C263" s="254"/>
      <c r="D263" s="204" t="s">
        <v>199</v>
      </c>
      <c r="E263" s="204" t="s">
        <v>120</v>
      </c>
      <c r="F263" s="204" t="s">
        <v>200</v>
      </c>
      <c r="G263" s="205">
        <v>28</v>
      </c>
      <c r="H263" s="205">
        <v>28</v>
      </c>
      <c r="I263" s="206">
        <f t="shared" si="14"/>
        <v>1</v>
      </c>
      <c r="J263" s="207" t="str">
        <f t="shared" si="10"/>
        <v>수료</v>
      </c>
    </row>
    <row r="264" spans="2:10" ht="20.100000000000001" customHeight="1">
      <c r="B264" s="108">
        <v>261</v>
      </c>
      <c r="C264" s="254"/>
      <c r="D264" s="204" t="s">
        <v>701</v>
      </c>
      <c r="E264" s="204" t="s">
        <v>122</v>
      </c>
      <c r="F264" s="204" t="s">
        <v>708</v>
      </c>
      <c r="G264" s="205">
        <v>28</v>
      </c>
      <c r="H264" s="205">
        <v>28</v>
      </c>
      <c r="I264" s="206">
        <f t="shared" si="14"/>
        <v>1</v>
      </c>
      <c r="J264" s="207" t="str">
        <f t="shared" si="10"/>
        <v>수료</v>
      </c>
    </row>
    <row r="265" spans="2:10" ht="20.100000000000001" customHeight="1">
      <c r="B265" s="108">
        <v>262</v>
      </c>
      <c r="C265" s="254"/>
      <c r="D265" s="204" t="s">
        <v>252</v>
      </c>
      <c r="E265" s="204" t="s">
        <v>122</v>
      </c>
      <c r="F265" s="204" t="s">
        <v>253</v>
      </c>
      <c r="G265" s="205">
        <v>28</v>
      </c>
      <c r="H265" s="205">
        <v>26</v>
      </c>
      <c r="I265" s="206">
        <f t="shared" si="14"/>
        <v>0.9285714285714286</v>
      </c>
      <c r="J265" s="207" t="str">
        <f t="shared" si="10"/>
        <v>수료</v>
      </c>
    </row>
    <row r="266" spans="2:10" ht="20.100000000000001" customHeight="1">
      <c r="B266" s="108">
        <v>263</v>
      </c>
      <c r="C266" s="254"/>
      <c r="D266" s="204" t="s">
        <v>702</v>
      </c>
      <c r="E266" s="204" t="s">
        <v>120</v>
      </c>
      <c r="F266" s="204" t="s">
        <v>709</v>
      </c>
      <c r="G266" s="205">
        <v>28</v>
      </c>
      <c r="H266" s="205">
        <v>28</v>
      </c>
      <c r="I266" s="206">
        <f t="shared" ref="I266:I269" si="15">H266/G266</f>
        <v>1</v>
      </c>
      <c r="J266" s="207" t="str">
        <f t="shared" si="10"/>
        <v>수료</v>
      </c>
    </row>
    <row r="267" spans="2:10" ht="20.100000000000001" customHeight="1">
      <c r="B267" s="108">
        <v>264</v>
      </c>
      <c r="C267" s="254"/>
      <c r="D267" s="204" t="s">
        <v>703</v>
      </c>
      <c r="E267" s="204" t="s">
        <v>120</v>
      </c>
      <c r="F267" s="204" t="s">
        <v>710</v>
      </c>
      <c r="G267" s="205">
        <v>28</v>
      </c>
      <c r="H267" s="205">
        <v>22</v>
      </c>
      <c r="I267" s="206">
        <f t="shared" si="15"/>
        <v>0.7857142857142857</v>
      </c>
      <c r="J267" s="207" t="str">
        <f t="shared" si="10"/>
        <v>수료</v>
      </c>
    </row>
    <row r="268" spans="2:10" ht="20.100000000000001" customHeight="1">
      <c r="B268" s="108">
        <v>265</v>
      </c>
      <c r="C268" s="254"/>
      <c r="D268" s="204" t="s">
        <v>247</v>
      </c>
      <c r="E268" s="204" t="s">
        <v>120</v>
      </c>
      <c r="F268" s="204" t="s">
        <v>248</v>
      </c>
      <c r="G268" s="205">
        <v>28</v>
      </c>
      <c r="H268" s="205">
        <v>25</v>
      </c>
      <c r="I268" s="206">
        <f t="shared" si="15"/>
        <v>0.8928571428571429</v>
      </c>
      <c r="J268" s="207" t="str">
        <f t="shared" si="10"/>
        <v>수료</v>
      </c>
    </row>
    <row r="269" spans="2:10" ht="20.100000000000001" customHeight="1" thickBot="1">
      <c r="B269" s="109">
        <v>266</v>
      </c>
      <c r="C269" s="255"/>
      <c r="D269" s="208" t="s">
        <v>318</v>
      </c>
      <c r="E269" s="208" t="s">
        <v>122</v>
      </c>
      <c r="F269" s="208" t="s">
        <v>320</v>
      </c>
      <c r="G269" s="209">
        <v>28</v>
      </c>
      <c r="H269" s="209">
        <v>28</v>
      </c>
      <c r="I269" s="210">
        <f t="shared" si="15"/>
        <v>1</v>
      </c>
      <c r="J269" s="216" t="str">
        <f t="shared" si="10"/>
        <v>수료</v>
      </c>
    </row>
  </sheetData>
  <mergeCells count="27">
    <mergeCell ref="C4:C15"/>
    <mergeCell ref="AD157:AD178"/>
    <mergeCell ref="AD179:AD216"/>
    <mergeCell ref="B1:J1"/>
    <mergeCell ref="AD44:AD63"/>
    <mergeCell ref="R4:AD16"/>
    <mergeCell ref="AD18:AD26"/>
    <mergeCell ref="S27:AD37"/>
    <mergeCell ref="AC38:AD43"/>
    <mergeCell ref="R83:AD117"/>
    <mergeCell ref="R118:AD121"/>
    <mergeCell ref="AD143:AD156"/>
    <mergeCell ref="C16:C21"/>
    <mergeCell ref="C22:C33"/>
    <mergeCell ref="C34:C48"/>
    <mergeCell ref="C49:C63"/>
    <mergeCell ref="C103:C114"/>
    <mergeCell ref="C115:C129"/>
    <mergeCell ref="C130:C145"/>
    <mergeCell ref="C146:C170"/>
    <mergeCell ref="C64:C102"/>
    <mergeCell ref="C256:C269"/>
    <mergeCell ref="C171:C188"/>
    <mergeCell ref="C189:C211"/>
    <mergeCell ref="C212:C229"/>
    <mergeCell ref="C230:C241"/>
    <mergeCell ref="C242:C255"/>
  </mergeCells>
  <phoneticPr fontId="26"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G206"/>
  <sheetViews>
    <sheetView tabSelected="1" zoomScale="85" zoomScaleNormal="85" workbookViewId="0">
      <selection activeCell="B1" sqref="B1:I1"/>
    </sheetView>
  </sheetViews>
  <sheetFormatPr defaultRowHeight="16.5"/>
  <cols>
    <col min="1" max="1" width="3.625" style="10" customWidth="1"/>
    <col min="2" max="2" width="9" style="10"/>
    <col min="3" max="3" width="28.625" style="66" customWidth="1"/>
    <col min="4" max="4" width="19.25" style="10" customWidth="1"/>
    <col min="5" max="5" width="18.75" style="10" customWidth="1"/>
    <col min="6" max="7" width="9" style="67" customWidth="1"/>
    <col min="8" max="8" width="18.5" style="67" customWidth="1"/>
    <col min="9" max="9" width="9" style="67" customWidth="1"/>
    <col min="10" max="10" width="12.125" style="10" customWidth="1"/>
    <col min="11" max="11" width="12.125" style="29" customWidth="1"/>
    <col min="12" max="12" width="13.125" style="10" customWidth="1"/>
    <col min="13" max="13" width="13.125" style="29" customWidth="1"/>
    <col min="14" max="14" width="11.125" style="10" customWidth="1"/>
    <col min="15" max="15" width="11.125" style="29" customWidth="1"/>
    <col min="16" max="16" width="11.375" style="10" customWidth="1"/>
    <col min="17" max="17" width="11.375" style="29" customWidth="1"/>
    <col min="18" max="19" width="11.125" style="29" customWidth="1"/>
    <col min="20" max="27" width="12.5" style="29" customWidth="1"/>
    <col min="28" max="28" width="167.125" style="221" customWidth="1"/>
    <col min="29" max="34" width="9" style="15"/>
    <col min="35" max="35" width="9" style="65" customWidth="1"/>
    <col min="36" max="39" width="9" style="15"/>
    <col min="40" max="16384" width="9" style="10"/>
  </cols>
  <sheetData>
    <row r="1" spans="2:59" ht="45" customHeight="1">
      <c r="B1" s="261" t="s">
        <v>464</v>
      </c>
      <c r="C1" s="261"/>
      <c r="D1" s="261"/>
      <c r="E1" s="261"/>
      <c r="F1" s="261"/>
      <c r="G1" s="261"/>
      <c r="H1" s="261"/>
      <c r="I1" s="261"/>
    </row>
    <row r="2" spans="2:59" ht="14.25" customHeight="1"/>
    <row r="3" spans="2:59" ht="17.25" thickBot="1">
      <c r="B3" s="68"/>
      <c r="C3" s="69"/>
      <c r="D3" s="70"/>
      <c r="E3" s="69"/>
      <c r="F3" s="68" t="s">
        <v>57</v>
      </c>
      <c r="G3" s="68" t="s">
        <v>58</v>
      </c>
      <c r="H3" s="68" t="s">
        <v>59</v>
      </c>
      <c r="I3" s="70" t="s">
        <v>60</v>
      </c>
      <c r="J3" s="71" t="s">
        <v>109</v>
      </c>
      <c r="K3" s="217"/>
      <c r="L3" s="70"/>
      <c r="M3" s="220"/>
      <c r="N3" s="70"/>
      <c r="O3" s="220"/>
      <c r="P3" s="70"/>
      <c r="Q3" s="220"/>
      <c r="R3" s="220"/>
      <c r="S3" s="220"/>
      <c r="T3" s="220"/>
      <c r="U3" s="220"/>
      <c r="V3" s="220"/>
      <c r="W3" s="220"/>
      <c r="X3" s="220"/>
      <c r="Y3" s="220"/>
      <c r="Z3" s="220"/>
      <c r="AA3" s="220"/>
      <c r="AB3" s="222" t="s">
        <v>110</v>
      </c>
      <c r="AD3" s="70"/>
      <c r="AE3" s="70"/>
      <c r="AF3" s="70"/>
      <c r="AG3" s="70"/>
      <c r="AH3" s="72"/>
      <c r="AI3" s="73"/>
      <c r="AJ3" s="72"/>
      <c r="AK3" s="72"/>
      <c r="AL3" s="72"/>
      <c r="AM3" s="72"/>
      <c r="AN3" s="74"/>
      <c r="AO3" s="74"/>
      <c r="AP3" s="74"/>
      <c r="AQ3" s="74"/>
      <c r="AR3" s="74"/>
      <c r="AS3" s="74"/>
      <c r="AT3" s="74"/>
      <c r="AU3" s="74"/>
      <c r="AV3" s="74"/>
      <c r="AW3" s="74"/>
      <c r="AX3" s="74"/>
      <c r="AY3" s="74"/>
      <c r="AZ3" s="74"/>
      <c r="BA3" s="74"/>
      <c r="BB3" s="74"/>
      <c r="BC3" s="74"/>
      <c r="BD3" s="74"/>
      <c r="BE3" s="74"/>
      <c r="BF3" s="74"/>
      <c r="BG3" s="74"/>
    </row>
    <row r="4" spans="2:59">
      <c r="B4" s="75" t="s">
        <v>61</v>
      </c>
      <c r="C4" s="76"/>
      <c r="D4" s="77" t="s">
        <v>62</v>
      </c>
      <c r="E4" s="76" t="s">
        <v>101</v>
      </c>
      <c r="F4" s="78" t="s">
        <v>102</v>
      </c>
      <c r="G4" s="78" t="s">
        <v>103</v>
      </c>
      <c r="H4" s="78" t="s">
        <v>104</v>
      </c>
      <c r="I4" s="78" t="s">
        <v>105</v>
      </c>
      <c r="J4" s="77" t="s">
        <v>106</v>
      </c>
      <c r="K4" s="218"/>
      <c r="L4" s="77"/>
      <c r="M4" s="218"/>
      <c r="N4" s="77"/>
      <c r="O4" s="218"/>
      <c r="P4" s="77"/>
      <c r="Q4" s="218"/>
      <c r="R4" s="218"/>
      <c r="S4" s="218"/>
      <c r="T4" s="218"/>
      <c r="U4" s="218"/>
      <c r="V4" s="218"/>
      <c r="W4" s="218"/>
      <c r="X4" s="218"/>
      <c r="Y4" s="218"/>
      <c r="Z4" s="223"/>
      <c r="AA4" s="224"/>
      <c r="AB4" s="225"/>
      <c r="AC4" s="70"/>
      <c r="AD4" s="70"/>
      <c r="AE4" s="70"/>
      <c r="AF4" s="70"/>
      <c r="AG4" s="70"/>
      <c r="AH4" s="72"/>
      <c r="AI4" s="73"/>
      <c r="AJ4" s="72"/>
      <c r="AK4" s="72"/>
      <c r="AL4" s="72"/>
      <c r="AM4" s="72"/>
      <c r="AN4" s="74"/>
      <c r="AO4" s="74"/>
      <c r="AP4" s="74"/>
      <c r="AQ4" s="74"/>
      <c r="AR4" s="74"/>
      <c r="AS4" s="74"/>
      <c r="AT4" s="74"/>
      <c r="AU4" s="74"/>
      <c r="AV4" s="74"/>
      <c r="AW4" s="74"/>
      <c r="AX4" s="74"/>
      <c r="AY4" s="74"/>
      <c r="AZ4" s="74"/>
      <c r="BA4" s="74"/>
      <c r="BB4" s="74"/>
      <c r="BC4" s="74"/>
      <c r="BD4" s="74"/>
      <c r="BE4" s="74"/>
      <c r="BF4" s="74"/>
      <c r="BG4" s="74"/>
    </row>
    <row r="5" spans="2:59" ht="17.25" thickBot="1">
      <c r="B5" s="90" t="s">
        <v>1</v>
      </c>
      <c r="C5" s="91" t="s">
        <v>118</v>
      </c>
      <c r="D5" s="91"/>
      <c r="E5" s="91"/>
      <c r="F5" s="91" t="s">
        <v>108</v>
      </c>
      <c r="G5" s="91" t="s">
        <v>92</v>
      </c>
      <c r="H5" s="91" t="s">
        <v>4</v>
      </c>
      <c r="I5" s="91" t="s">
        <v>4</v>
      </c>
      <c r="J5" s="91" t="s">
        <v>79</v>
      </c>
      <c r="K5" s="219"/>
      <c r="L5" s="91" t="s">
        <v>93</v>
      </c>
      <c r="M5" s="219"/>
      <c r="N5" s="91" t="s">
        <v>94</v>
      </c>
      <c r="O5" s="219"/>
      <c r="P5" s="91" t="s">
        <v>95</v>
      </c>
      <c r="Q5" s="219"/>
      <c r="R5" s="219" t="s">
        <v>90</v>
      </c>
      <c r="S5" s="219"/>
      <c r="T5" s="219" t="s">
        <v>91</v>
      </c>
      <c r="U5" s="219"/>
      <c r="V5" s="219" t="s">
        <v>96</v>
      </c>
      <c r="W5" s="219"/>
      <c r="X5" s="219" t="s">
        <v>97</v>
      </c>
      <c r="Y5" s="219"/>
      <c r="Z5" s="219" t="s">
        <v>107</v>
      </c>
      <c r="AA5" s="226"/>
      <c r="AB5" s="227" t="s">
        <v>98</v>
      </c>
      <c r="AC5" s="70"/>
      <c r="AD5" s="70"/>
      <c r="AE5" s="70"/>
      <c r="AF5" s="70"/>
      <c r="AG5" s="70"/>
      <c r="AH5" s="72"/>
      <c r="AI5" s="73"/>
      <c r="AJ5" s="72"/>
      <c r="AK5" s="72"/>
      <c r="AL5" s="72"/>
      <c r="AM5" s="72"/>
      <c r="AN5" s="74"/>
      <c r="AO5" s="74"/>
      <c r="AP5" s="74"/>
      <c r="AQ5" s="74"/>
      <c r="AR5" s="74"/>
      <c r="AS5" s="74"/>
      <c r="AT5" s="74"/>
      <c r="AU5" s="74"/>
      <c r="AV5" s="74"/>
      <c r="AW5" s="74"/>
      <c r="AX5" s="74"/>
      <c r="AY5" s="74"/>
      <c r="AZ5" s="74"/>
      <c r="BA5" s="74"/>
      <c r="BB5" s="74"/>
      <c r="BC5" s="74"/>
      <c r="BD5" s="74"/>
      <c r="BE5" s="74"/>
      <c r="BF5" s="74"/>
      <c r="BG5" s="74"/>
    </row>
    <row r="6" spans="2:59" ht="16.5" customHeight="1">
      <c r="B6" s="92">
        <v>1</v>
      </c>
      <c r="C6" s="262" t="s">
        <v>131</v>
      </c>
      <c r="D6" s="230" t="s">
        <v>712</v>
      </c>
      <c r="E6" s="230" t="s">
        <v>713</v>
      </c>
      <c r="F6" s="230" t="s">
        <v>6</v>
      </c>
      <c r="G6" s="230" t="s">
        <v>8</v>
      </c>
      <c r="H6" s="230" t="s">
        <v>22</v>
      </c>
      <c r="I6" s="230" t="s">
        <v>32</v>
      </c>
      <c r="J6" s="230" t="s">
        <v>36</v>
      </c>
      <c r="K6" s="231">
        <v>4</v>
      </c>
      <c r="L6" s="230" t="s">
        <v>35</v>
      </c>
      <c r="M6" s="231">
        <v>3</v>
      </c>
      <c r="N6" s="230" t="s">
        <v>35</v>
      </c>
      <c r="O6" s="231">
        <v>3</v>
      </c>
      <c r="P6" s="230" t="s">
        <v>36</v>
      </c>
      <c r="Q6" s="231">
        <v>4</v>
      </c>
      <c r="R6" s="231" t="s">
        <v>35</v>
      </c>
      <c r="S6" s="231">
        <v>3</v>
      </c>
      <c r="T6" s="231" t="s">
        <v>36</v>
      </c>
      <c r="U6" s="231">
        <v>4</v>
      </c>
      <c r="V6" s="231" t="s">
        <v>112</v>
      </c>
      <c r="W6" s="231">
        <v>5</v>
      </c>
      <c r="X6" s="231" t="s">
        <v>36</v>
      </c>
      <c r="Y6" s="231">
        <v>4</v>
      </c>
      <c r="Z6" s="231" t="s">
        <v>35</v>
      </c>
      <c r="AA6" s="231">
        <v>3</v>
      </c>
      <c r="AB6" s="232" t="s">
        <v>714</v>
      </c>
      <c r="AC6" s="79"/>
      <c r="AD6" s="79"/>
      <c r="AE6" s="79"/>
      <c r="AF6" s="79"/>
      <c r="AG6" s="79"/>
      <c r="AH6" s="79"/>
      <c r="AI6" s="80"/>
      <c r="AJ6" s="72"/>
      <c r="AK6" s="72"/>
      <c r="AL6" s="72"/>
      <c r="AM6" s="72"/>
      <c r="AN6" s="74"/>
      <c r="AO6" s="74"/>
      <c r="AP6" s="74"/>
      <c r="AQ6" s="74"/>
      <c r="AR6" s="74"/>
      <c r="AS6" s="74"/>
      <c r="AT6" s="74"/>
      <c r="AU6" s="74"/>
      <c r="AV6" s="74"/>
      <c r="AW6" s="74"/>
      <c r="AX6" s="74"/>
      <c r="AY6" s="74"/>
      <c r="AZ6" s="74"/>
      <c r="BA6" s="74"/>
      <c r="BB6" s="74"/>
      <c r="BC6" s="74"/>
      <c r="BD6" s="74"/>
      <c r="BE6" s="74"/>
      <c r="BF6" s="74"/>
      <c r="BG6" s="74"/>
    </row>
    <row r="7" spans="2:59">
      <c r="B7" s="83">
        <v>2</v>
      </c>
      <c r="C7" s="252"/>
      <c r="D7" s="228" t="s">
        <v>715</v>
      </c>
      <c r="E7" s="228" t="s">
        <v>716</v>
      </c>
      <c r="F7" s="228" t="s">
        <v>6</v>
      </c>
      <c r="G7" s="228" t="s">
        <v>7</v>
      </c>
      <c r="H7" s="228" t="s">
        <v>24</v>
      </c>
      <c r="I7" s="228" t="s">
        <v>30</v>
      </c>
      <c r="J7" s="228" t="s">
        <v>36</v>
      </c>
      <c r="K7" s="229">
        <v>4</v>
      </c>
      <c r="L7" s="228" t="s">
        <v>36</v>
      </c>
      <c r="M7" s="229">
        <v>4</v>
      </c>
      <c r="N7" s="228" t="s">
        <v>36</v>
      </c>
      <c r="O7" s="229">
        <v>4</v>
      </c>
      <c r="P7" s="228" t="s">
        <v>36</v>
      </c>
      <c r="Q7" s="229">
        <v>4</v>
      </c>
      <c r="R7" s="229" t="s">
        <v>36</v>
      </c>
      <c r="S7" s="229">
        <v>4</v>
      </c>
      <c r="T7" s="229" t="s">
        <v>36</v>
      </c>
      <c r="U7" s="229">
        <v>4</v>
      </c>
      <c r="V7" s="229" t="s">
        <v>36</v>
      </c>
      <c r="W7" s="229">
        <v>4</v>
      </c>
      <c r="X7" s="229" t="s">
        <v>36</v>
      </c>
      <c r="Y7" s="229">
        <v>4</v>
      </c>
      <c r="Z7" s="229" t="s">
        <v>36</v>
      </c>
      <c r="AA7" s="229">
        <v>4</v>
      </c>
      <c r="AB7" s="233"/>
      <c r="AC7" s="79"/>
      <c r="AD7" s="79"/>
      <c r="AE7" s="79"/>
      <c r="AF7" s="79"/>
      <c r="AG7" s="79"/>
      <c r="AH7" s="79"/>
      <c r="AI7" s="80"/>
      <c r="AJ7" s="72"/>
      <c r="AK7" s="72"/>
      <c r="AL7" s="72"/>
      <c r="AM7" s="72"/>
      <c r="AN7" s="74"/>
      <c r="AO7" s="74"/>
      <c r="AP7" s="74"/>
      <c r="AQ7" s="74"/>
      <c r="AR7" s="74"/>
      <c r="AS7" s="74"/>
      <c r="AT7" s="74"/>
      <c r="AU7" s="74"/>
      <c r="AV7" s="74"/>
      <c r="AW7" s="74"/>
      <c r="AX7" s="74"/>
      <c r="AY7" s="74"/>
      <c r="AZ7" s="74"/>
      <c r="BA7" s="74"/>
      <c r="BB7" s="74"/>
      <c r="BC7" s="74"/>
      <c r="BD7" s="74"/>
      <c r="BE7" s="74"/>
      <c r="BF7" s="74"/>
      <c r="BG7" s="74"/>
    </row>
    <row r="8" spans="2:59">
      <c r="B8" s="83">
        <v>3</v>
      </c>
      <c r="C8" s="252"/>
      <c r="D8" s="228" t="s">
        <v>717</v>
      </c>
      <c r="E8" s="228" t="s">
        <v>718</v>
      </c>
      <c r="F8" s="228" t="s">
        <v>6</v>
      </c>
      <c r="G8" s="228" t="s">
        <v>8</v>
      </c>
      <c r="H8" s="228" t="s">
        <v>24</v>
      </c>
      <c r="I8" s="228" t="s">
        <v>28</v>
      </c>
      <c r="J8" s="228" t="s">
        <v>112</v>
      </c>
      <c r="K8" s="229">
        <v>5</v>
      </c>
      <c r="L8" s="228" t="s">
        <v>112</v>
      </c>
      <c r="M8" s="229">
        <v>5</v>
      </c>
      <c r="N8" s="228" t="s">
        <v>112</v>
      </c>
      <c r="O8" s="229">
        <v>5</v>
      </c>
      <c r="P8" s="228" t="s">
        <v>112</v>
      </c>
      <c r="Q8" s="229">
        <v>5</v>
      </c>
      <c r="R8" s="229" t="s">
        <v>112</v>
      </c>
      <c r="S8" s="229">
        <v>5</v>
      </c>
      <c r="T8" s="229" t="s">
        <v>112</v>
      </c>
      <c r="U8" s="229">
        <v>5</v>
      </c>
      <c r="V8" s="229" t="s">
        <v>112</v>
      </c>
      <c r="W8" s="229">
        <v>5</v>
      </c>
      <c r="X8" s="229" t="s">
        <v>112</v>
      </c>
      <c r="Y8" s="229">
        <v>5</v>
      </c>
      <c r="Z8" s="229" t="s">
        <v>112</v>
      </c>
      <c r="AA8" s="229">
        <v>5</v>
      </c>
      <c r="AB8" s="233"/>
      <c r="AC8" s="79"/>
      <c r="AD8" s="79"/>
      <c r="AE8" s="79"/>
      <c r="AF8" s="79"/>
      <c r="AG8" s="79"/>
      <c r="AH8" s="79"/>
      <c r="AI8" s="80"/>
      <c r="AJ8" s="72"/>
      <c r="AK8" s="72"/>
      <c r="AL8" s="72"/>
      <c r="AM8" s="72"/>
      <c r="AN8" s="74"/>
      <c r="AO8" s="74"/>
      <c r="AP8" s="74"/>
      <c r="AQ8" s="74"/>
      <c r="AR8" s="74"/>
      <c r="AS8" s="74"/>
      <c r="AT8" s="74"/>
      <c r="AU8" s="74"/>
      <c r="AV8" s="74"/>
      <c r="AW8" s="74"/>
      <c r="AX8" s="74"/>
      <c r="AY8" s="74"/>
      <c r="AZ8" s="74"/>
      <c r="BA8" s="74"/>
      <c r="BB8" s="74"/>
      <c r="BC8" s="74"/>
      <c r="BD8" s="74"/>
      <c r="BE8" s="74"/>
      <c r="BF8" s="74"/>
      <c r="BG8" s="74"/>
    </row>
    <row r="9" spans="2:59">
      <c r="B9" s="83">
        <v>4</v>
      </c>
      <c r="C9" s="252"/>
      <c r="D9" s="228" t="s">
        <v>719</v>
      </c>
      <c r="E9" s="228" t="s">
        <v>720</v>
      </c>
      <c r="F9" s="228" t="s">
        <v>6</v>
      </c>
      <c r="G9" s="228" t="s">
        <v>12</v>
      </c>
      <c r="H9" s="228" t="s">
        <v>25</v>
      </c>
      <c r="I9" s="228" t="s">
        <v>28</v>
      </c>
      <c r="J9" s="228" t="s">
        <v>112</v>
      </c>
      <c r="K9" s="229">
        <v>5</v>
      </c>
      <c r="L9" s="228" t="s">
        <v>112</v>
      </c>
      <c r="M9" s="229">
        <v>5</v>
      </c>
      <c r="N9" s="228" t="s">
        <v>112</v>
      </c>
      <c r="O9" s="229">
        <v>5</v>
      </c>
      <c r="P9" s="228" t="s">
        <v>112</v>
      </c>
      <c r="Q9" s="229">
        <v>5</v>
      </c>
      <c r="R9" s="229" t="s">
        <v>112</v>
      </c>
      <c r="S9" s="229">
        <v>5</v>
      </c>
      <c r="T9" s="229" t="s">
        <v>112</v>
      </c>
      <c r="U9" s="229">
        <v>5</v>
      </c>
      <c r="V9" s="229" t="s">
        <v>112</v>
      </c>
      <c r="W9" s="229">
        <v>5</v>
      </c>
      <c r="X9" s="229" t="s">
        <v>112</v>
      </c>
      <c r="Y9" s="229">
        <v>5</v>
      </c>
      <c r="Z9" s="229" t="s">
        <v>112</v>
      </c>
      <c r="AA9" s="229">
        <v>5</v>
      </c>
      <c r="AB9" s="233"/>
      <c r="AC9" s="79"/>
      <c r="AD9" s="79"/>
      <c r="AE9" s="79"/>
      <c r="AF9" s="79"/>
      <c r="AG9" s="79"/>
      <c r="AH9" s="79"/>
      <c r="AI9" s="80"/>
      <c r="AJ9" s="72"/>
      <c r="AK9" s="72"/>
      <c r="AL9" s="72"/>
      <c r="AM9" s="72"/>
      <c r="AN9" s="74"/>
      <c r="AO9" s="74"/>
      <c r="AP9" s="74"/>
      <c r="AQ9" s="74"/>
      <c r="AR9" s="74"/>
      <c r="AS9" s="74"/>
      <c r="AT9" s="74"/>
      <c r="AU9" s="74"/>
      <c r="AV9" s="74"/>
      <c r="AW9" s="74"/>
      <c r="AX9" s="74"/>
      <c r="AY9" s="74"/>
      <c r="AZ9" s="74"/>
      <c r="BA9" s="74"/>
      <c r="BB9" s="74"/>
      <c r="BC9" s="74"/>
      <c r="BD9" s="74"/>
      <c r="BE9" s="74"/>
      <c r="BF9" s="74"/>
      <c r="BG9" s="74"/>
    </row>
    <row r="10" spans="2:59">
      <c r="B10" s="83">
        <v>5</v>
      </c>
      <c r="C10" s="252"/>
      <c r="D10" s="228" t="s">
        <v>721</v>
      </c>
      <c r="E10" s="228" t="s">
        <v>722</v>
      </c>
      <c r="F10" s="228" t="s">
        <v>6</v>
      </c>
      <c r="G10" s="228" t="s">
        <v>17</v>
      </c>
      <c r="H10" s="228" t="s">
        <v>24</v>
      </c>
      <c r="I10" s="228" t="s">
        <v>28</v>
      </c>
      <c r="J10" s="228" t="s">
        <v>112</v>
      </c>
      <c r="K10" s="229">
        <v>5</v>
      </c>
      <c r="L10" s="228" t="s">
        <v>112</v>
      </c>
      <c r="M10" s="229">
        <v>5</v>
      </c>
      <c r="N10" s="228" t="s">
        <v>112</v>
      </c>
      <c r="O10" s="229">
        <v>5</v>
      </c>
      <c r="P10" s="228" t="s">
        <v>112</v>
      </c>
      <c r="Q10" s="229">
        <v>5</v>
      </c>
      <c r="R10" s="229" t="s">
        <v>112</v>
      </c>
      <c r="S10" s="229">
        <v>5</v>
      </c>
      <c r="T10" s="229" t="s">
        <v>112</v>
      </c>
      <c r="U10" s="229">
        <v>5</v>
      </c>
      <c r="V10" s="229" t="s">
        <v>112</v>
      </c>
      <c r="W10" s="229">
        <v>5</v>
      </c>
      <c r="X10" s="229" t="s">
        <v>112</v>
      </c>
      <c r="Y10" s="229">
        <v>5</v>
      </c>
      <c r="Z10" s="229" t="s">
        <v>112</v>
      </c>
      <c r="AA10" s="229">
        <v>5</v>
      </c>
      <c r="AB10" s="233" t="s">
        <v>723</v>
      </c>
      <c r="AC10" s="79"/>
      <c r="AD10" s="79"/>
      <c r="AE10" s="79"/>
      <c r="AF10" s="79"/>
      <c r="AG10" s="79"/>
      <c r="AH10" s="79"/>
      <c r="AI10" s="80"/>
      <c r="AJ10" s="72"/>
      <c r="AK10" s="72"/>
      <c r="AL10" s="72"/>
      <c r="AM10" s="72"/>
      <c r="AN10" s="74"/>
      <c r="AO10" s="74"/>
      <c r="AP10" s="74"/>
      <c r="AQ10" s="74"/>
      <c r="AR10" s="74"/>
      <c r="AS10" s="74"/>
      <c r="AT10" s="74"/>
      <c r="AU10" s="74"/>
      <c r="AV10" s="74"/>
      <c r="AW10" s="74"/>
      <c r="AX10" s="74"/>
      <c r="AY10" s="74"/>
      <c r="AZ10" s="74"/>
      <c r="BA10" s="74"/>
      <c r="BB10" s="74"/>
      <c r="BC10" s="74"/>
      <c r="BD10" s="74"/>
      <c r="BE10" s="74"/>
      <c r="BF10" s="74"/>
      <c r="BG10" s="74"/>
    </row>
    <row r="11" spans="2:59">
      <c r="B11" s="83">
        <v>6</v>
      </c>
      <c r="C11" s="252" t="s">
        <v>133</v>
      </c>
      <c r="D11" s="228" t="s">
        <v>724</v>
      </c>
      <c r="E11" s="228" t="s">
        <v>725</v>
      </c>
      <c r="F11" s="228" t="s">
        <v>6</v>
      </c>
      <c r="G11" s="228" t="s">
        <v>7</v>
      </c>
      <c r="H11" s="228" t="s">
        <v>24</v>
      </c>
      <c r="I11" s="228" t="s">
        <v>30</v>
      </c>
      <c r="J11" s="228" t="s">
        <v>112</v>
      </c>
      <c r="K11" s="229">
        <v>5</v>
      </c>
      <c r="L11" s="228" t="s">
        <v>112</v>
      </c>
      <c r="M11" s="229">
        <v>5</v>
      </c>
      <c r="N11" s="228" t="s">
        <v>112</v>
      </c>
      <c r="O11" s="229">
        <v>5</v>
      </c>
      <c r="P11" s="228" t="s">
        <v>112</v>
      </c>
      <c r="Q11" s="229">
        <v>5</v>
      </c>
      <c r="R11" s="229" t="s">
        <v>112</v>
      </c>
      <c r="S11" s="229">
        <v>5</v>
      </c>
      <c r="T11" s="229" t="s">
        <v>112</v>
      </c>
      <c r="U11" s="229">
        <v>5</v>
      </c>
      <c r="V11" s="229" t="s">
        <v>112</v>
      </c>
      <c r="W11" s="229">
        <v>5</v>
      </c>
      <c r="X11" s="229" t="s">
        <v>112</v>
      </c>
      <c r="Y11" s="229">
        <v>5</v>
      </c>
      <c r="Z11" s="229" t="s">
        <v>112</v>
      </c>
      <c r="AA11" s="229">
        <v>5</v>
      </c>
      <c r="AB11" s="233" t="s">
        <v>726</v>
      </c>
      <c r="AC11" s="10"/>
      <c r="AD11" s="79"/>
      <c r="AE11" s="79"/>
      <c r="AF11" s="79"/>
      <c r="AG11" s="79"/>
      <c r="AH11" s="79"/>
      <c r="AI11" s="81"/>
      <c r="AJ11" s="72"/>
      <c r="AK11" s="72"/>
      <c r="AL11" s="72"/>
      <c r="AM11" s="72"/>
      <c r="AN11" s="74"/>
      <c r="AO11" s="74"/>
      <c r="AP11" s="74"/>
      <c r="AQ11" s="74"/>
      <c r="AR11" s="74"/>
      <c r="AS11" s="74"/>
      <c r="AT11" s="74"/>
      <c r="AU11" s="74"/>
      <c r="AV11" s="74"/>
      <c r="AW11" s="74"/>
      <c r="AX11" s="74"/>
      <c r="AY11" s="74"/>
      <c r="AZ11" s="74"/>
      <c r="BA11" s="74"/>
      <c r="BB11" s="74"/>
      <c r="BC11" s="74"/>
      <c r="BD11" s="74"/>
      <c r="BE11" s="74"/>
      <c r="BF11" s="74"/>
      <c r="BG11" s="74"/>
    </row>
    <row r="12" spans="2:59">
      <c r="B12" s="83">
        <v>7</v>
      </c>
      <c r="C12" s="252"/>
      <c r="D12" s="228" t="s">
        <v>727</v>
      </c>
      <c r="E12" s="228" t="s">
        <v>728</v>
      </c>
      <c r="F12" s="228" t="s">
        <v>6</v>
      </c>
      <c r="G12" s="228" t="s">
        <v>9</v>
      </c>
      <c r="H12" s="228" t="s">
        <v>26</v>
      </c>
      <c r="I12" s="228" t="s">
        <v>30</v>
      </c>
      <c r="J12" s="228" t="s">
        <v>112</v>
      </c>
      <c r="K12" s="229">
        <v>5</v>
      </c>
      <c r="L12" s="228" t="s">
        <v>112</v>
      </c>
      <c r="M12" s="229">
        <v>5</v>
      </c>
      <c r="N12" s="228" t="s">
        <v>112</v>
      </c>
      <c r="O12" s="229">
        <v>5</v>
      </c>
      <c r="P12" s="228" t="s">
        <v>112</v>
      </c>
      <c r="Q12" s="229">
        <v>5</v>
      </c>
      <c r="R12" s="229" t="s">
        <v>36</v>
      </c>
      <c r="S12" s="229">
        <v>4</v>
      </c>
      <c r="T12" s="229" t="s">
        <v>112</v>
      </c>
      <c r="U12" s="229">
        <v>5</v>
      </c>
      <c r="V12" s="229" t="s">
        <v>36</v>
      </c>
      <c r="W12" s="229">
        <v>4</v>
      </c>
      <c r="X12" s="229" t="s">
        <v>36</v>
      </c>
      <c r="Y12" s="229">
        <v>4</v>
      </c>
      <c r="Z12" s="229" t="s">
        <v>36</v>
      </c>
      <c r="AA12" s="229">
        <v>4</v>
      </c>
      <c r="AB12" s="233"/>
      <c r="AC12" s="10"/>
      <c r="AD12" s="79"/>
      <c r="AE12" s="79"/>
      <c r="AF12" s="79"/>
      <c r="AG12" s="79"/>
      <c r="AH12" s="79"/>
      <c r="AI12" s="81"/>
      <c r="AJ12" s="72"/>
      <c r="AK12" s="72"/>
      <c r="AL12" s="72"/>
      <c r="AM12" s="72"/>
      <c r="AN12" s="74"/>
      <c r="AO12" s="74"/>
      <c r="AP12" s="74"/>
      <c r="AQ12" s="74"/>
      <c r="AR12" s="74"/>
      <c r="AS12" s="74"/>
      <c r="AT12" s="74"/>
      <c r="AU12" s="74"/>
      <c r="AV12" s="74"/>
      <c r="AW12" s="74"/>
      <c r="AX12" s="74"/>
      <c r="AY12" s="74"/>
      <c r="AZ12" s="74"/>
      <c r="BA12" s="74"/>
      <c r="BB12" s="74"/>
      <c r="BC12" s="74"/>
      <c r="BD12" s="74"/>
      <c r="BE12" s="74"/>
      <c r="BF12" s="74"/>
      <c r="BG12" s="74"/>
    </row>
    <row r="13" spans="2:59">
      <c r="B13" s="83">
        <v>8</v>
      </c>
      <c r="C13" s="252"/>
      <c r="D13" s="228" t="s">
        <v>729</v>
      </c>
      <c r="E13" s="228" t="s">
        <v>730</v>
      </c>
      <c r="F13" s="228" t="s">
        <v>6</v>
      </c>
      <c r="G13" s="228" t="s">
        <v>7</v>
      </c>
      <c r="H13" s="228" t="s">
        <v>26</v>
      </c>
      <c r="I13" s="228" t="s">
        <v>30</v>
      </c>
      <c r="J13" s="228" t="s">
        <v>112</v>
      </c>
      <c r="K13" s="229">
        <v>5</v>
      </c>
      <c r="L13" s="228" t="s">
        <v>112</v>
      </c>
      <c r="M13" s="229">
        <v>5</v>
      </c>
      <c r="N13" s="228" t="s">
        <v>112</v>
      </c>
      <c r="O13" s="229">
        <v>5</v>
      </c>
      <c r="P13" s="228" t="s">
        <v>112</v>
      </c>
      <c r="Q13" s="229">
        <v>5</v>
      </c>
      <c r="R13" s="229" t="s">
        <v>112</v>
      </c>
      <c r="S13" s="229">
        <v>5</v>
      </c>
      <c r="T13" s="229" t="s">
        <v>112</v>
      </c>
      <c r="U13" s="229">
        <v>5</v>
      </c>
      <c r="V13" s="229" t="s">
        <v>112</v>
      </c>
      <c r="W13" s="229">
        <v>5</v>
      </c>
      <c r="X13" s="229" t="s">
        <v>112</v>
      </c>
      <c r="Y13" s="229">
        <v>5</v>
      </c>
      <c r="Z13" s="229" t="s">
        <v>112</v>
      </c>
      <c r="AA13" s="229">
        <v>5</v>
      </c>
      <c r="AB13" s="233" t="s">
        <v>731</v>
      </c>
      <c r="AC13" s="10"/>
      <c r="AD13" s="79"/>
      <c r="AE13" s="79"/>
      <c r="AF13" s="79"/>
      <c r="AG13" s="79"/>
      <c r="AH13" s="79"/>
      <c r="AI13" s="81"/>
      <c r="AJ13" s="72"/>
      <c r="AK13" s="72"/>
      <c r="AL13" s="72"/>
      <c r="AM13" s="72"/>
      <c r="AN13" s="74"/>
      <c r="AO13" s="74"/>
      <c r="AP13" s="74"/>
      <c r="AQ13" s="74"/>
      <c r="AR13" s="74"/>
      <c r="AS13" s="74"/>
      <c r="AT13" s="74"/>
      <c r="AU13" s="74"/>
      <c r="AV13" s="74"/>
      <c r="AW13" s="74"/>
      <c r="AX13" s="74"/>
      <c r="AY13" s="74"/>
      <c r="AZ13" s="74"/>
      <c r="BA13" s="74"/>
      <c r="BB13" s="74"/>
      <c r="BC13" s="74"/>
      <c r="BD13" s="74"/>
      <c r="BE13" s="74"/>
      <c r="BF13" s="74"/>
      <c r="BG13" s="74"/>
    </row>
    <row r="14" spans="2:59">
      <c r="B14" s="83">
        <v>9</v>
      </c>
      <c r="C14" s="252"/>
      <c r="D14" s="228" t="s">
        <v>732</v>
      </c>
      <c r="E14" s="228" t="s">
        <v>733</v>
      </c>
      <c r="F14" s="228" t="s">
        <v>6</v>
      </c>
      <c r="G14" s="228" t="s">
        <v>9</v>
      </c>
      <c r="H14" s="228" t="s">
        <v>24</v>
      </c>
      <c r="I14" s="228" t="s">
        <v>30</v>
      </c>
      <c r="J14" s="228" t="s">
        <v>112</v>
      </c>
      <c r="K14" s="229">
        <v>5</v>
      </c>
      <c r="L14" s="228" t="s">
        <v>112</v>
      </c>
      <c r="M14" s="229">
        <v>5</v>
      </c>
      <c r="N14" s="228" t="s">
        <v>112</v>
      </c>
      <c r="O14" s="229">
        <v>5</v>
      </c>
      <c r="P14" s="228" t="s">
        <v>112</v>
      </c>
      <c r="Q14" s="229">
        <v>5</v>
      </c>
      <c r="R14" s="229" t="s">
        <v>112</v>
      </c>
      <c r="S14" s="229">
        <v>5</v>
      </c>
      <c r="T14" s="229" t="s">
        <v>112</v>
      </c>
      <c r="U14" s="229">
        <v>5</v>
      </c>
      <c r="V14" s="229" t="s">
        <v>112</v>
      </c>
      <c r="W14" s="229">
        <v>5</v>
      </c>
      <c r="X14" s="229" t="s">
        <v>112</v>
      </c>
      <c r="Y14" s="229">
        <v>5</v>
      </c>
      <c r="Z14" s="229" t="s">
        <v>112</v>
      </c>
      <c r="AA14" s="229">
        <v>5</v>
      </c>
      <c r="AB14" s="233" t="s">
        <v>734</v>
      </c>
      <c r="AC14" s="10"/>
      <c r="AD14" s="10"/>
      <c r="AE14" s="10"/>
      <c r="AF14" s="10"/>
      <c r="AG14" s="10"/>
      <c r="AH14" s="10"/>
      <c r="AI14" s="80"/>
      <c r="AJ14" s="82"/>
      <c r="AK14" s="82"/>
      <c r="AL14" s="82"/>
      <c r="AM14" s="72"/>
      <c r="AN14" s="74"/>
      <c r="AO14" s="74"/>
      <c r="AP14" s="74"/>
      <c r="AQ14" s="74"/>
      <c r="AR14" s="74"/>
      <c r="AS14" s="74"/>
      <c r="AT14" s="74"/>
      <c r="AU14" s="74"/>
      <c r="AV14" s="74"/>
      <c r="AW14" s="74"/>
      <c r="AX14" s="74"/>
      <c r="AY14" s="74"/>
      <c r="AZ14" s="74"/>
      <c r="BA14" s="74"/>
      <c r="BB14" s="74"/>
      <c r="BC14" s="74"/>
      <c r="BD14" s="74"/>
      <c r="BE14" s="74"/>
      <c r="BF14" s="74"/>
      <c r="BG14" s="74"/>
    </row>
    <row r="15" spans="2:59">
      <c r="B15" s="83">
        <v>10</v>
      </c>
      <c r="C15" s="252"/>
      <c r="D15" s="228" t="s">
        <v>735</v>
      </c>
      <c r="E15" s="228" t="s">
        <v>736</v>
      </c>
      <c r="F15" s="228" t="s">
        <v>6</v>
      </c>
      <c r="G15" s="228" t="s">
        <v>9</v>
      </c>
      <c r="H15" s="228" t="s">
        <v>24</v>
      </c>
      <c r="I15" s="228" t="s">
        <v>29</v>
      </c>
      <c r="J15" s="228" t="s">
        <v>112</v>
      </c>
      <c r="K15" s="229">
        <v>5</v>
      </c>
      <c r="L15" s="228" t="s">
        <v>112</v>
      </c>
      <c r="M15" s="229">
        <v>5</v>
      </c>
      <c r="N15" s="228" t="s">
        <v>112</v>
      </c>
      <c r="O15" s="229">
        <v>5</v>
      </c>
      <c r="P15" s="228" t="s">
        <v>112</v>
      </c>
      <c r="Q15" s="229">
        <v>5</v>
      </c>
      <c r="R15" s="229" t="s">
        <v>112</v>
      </c>
      <c r="S15" s="229">
        <v>5</v>
      </c>
      <c r="T15" s="229" t="s">
        <v>112</v>
      </c>
      <c r="U15" s="229">
        <v>5</v>
      </c>
      <c r="V15" s="229" t="s">
        <v>112</v>
      </c>
      <c r="W15" s="229">
        <v>5</v>
      </c>
      <c r="X15" s="229" t="s">
        <v>112</v>
      </c>
      <c r="Y15" s="229">
        <v>5</v>
      </c>
      <c r="Z15" s="229" t="s">
        <v>112</v>
      </c>
      <c r="AA15" s="229">
        <v>5</v>
      </c>
      <c r="AB15" s="233" t="s">
        <v>737</v>
      </c>
      <c r="AC15" s="10"/>
      <c r="AD15" s="10"/>
      <c r="AE15" s="10"/>
      <c r="AF15" s="10"/>
      <c r="AG15" s="10"/>
      <c r="AH15" s="10"/>
      <c r="AI15" s="80"/>
      <c r="AJ15" s="72"/>
      <c r="AK15" s="72"/>
      <c r="AL15" s="72"/>
      <c r="AM15" s="72"/>
      <c r="AN15" s="74"/>
      <c r="AO15" s="74"/>
      <c r="AP15" s="74"/>
      <c r="AQ15" s="74"/>
      <c r="AR15" s="74"/>
      <c r="AS15" s="74"/>
      <c r="AT15" s="74"/>
      <c r="AU15" s="74"/>
      <c r="AV15" s="74"/>
      <c r="AW15" s="74"/>
      <c r="AX15" s="74"/>
      <c r="AY15" s="74"/>
      <c r="AZ15" s="74"/>
      <c r="BA15" s="74"/>
      <c r="BB15" s="74"/>
      <c r="BC15" s="74"/>
      <c r="BD15" s="74"/>
      <c r="BE15" s="74"/>
      <c r="BF15" s="74"/>
      <c r="BG15" s="74"/>
    </row>
    <row r="16" spans="2:59">
      <c r="B16" s="83">
        <v>11</v>
      </c>
      <c r="C16" s="252"/>
      <c r="D16" s="228" t="s">
        <v>738</v>
      </c>
      <c r="E16" s="228" t="s">
        <v>739</v>
      </c>
      <c r="F16" s="228" t="s">
        <v>6</v>
      </c>
      <c r="G16" s="228" t="s">
        <v>7</v>
      </c>
      <c r="H16" s="228" t="s">
        <v>26</v>
      </c>
      <c r="I16" s="228" t="s">
        <v>30</v>
      </c>
      <c r="J16" s="228" t="s">
        <v>112</v>
      </c>
      <c r="K16" s="229">
        <v>5</v>
      </c>
      <c r="L16" s="228" t="s">
        <v>36</v>
      </c>
      <c r="M16" s="229">
        <v>4</v>
      </c>
      <c r="N16" s="228" t="s">
        <v>112</v>
      </c>
      <c r="O16" s="229">
        <v>5</v>
      </c>
      <c r="P16" s="228" t="s">
        <v>112</v>
      </c>
      <c r="Q16" s="229">
        <v>5</v>
      </c>
      <c r="R16" s="229" t="s">
        <v>112</v>
      </c>
      <c r="S16" s="229">
        <v>5</v>
      </c>
      <c r="T16" s="229" t="s">
        <v>112</v>
      </c>
      <c r="U16" s="229">
        <v>5</v>
      </c>
      <c r="V16" s="229" t="s">
        <v>36</v>
      </c>
      <c r="W16" s="229">
        <v>4</v>
      </c>
      <c r="X16" s="229" t="s">
        <v>112</v>
      </c>
      <c r="Y16" s="229">
        <v>5</v>
      </c>
      <c r="Z16" s="229" t="s">
        <v>112</v>
      </c>
      <c r="AA16" s="229">
        <v>5</v>
      </c>
      <c r="AB16" s="233" t="s">
        <v>740</v>
      </c>
      <c r="AC16" s="10"/>
      <c r="AD16" s="10"/>
      <c r="AE16" s="10"/>
      <c r="AF16" s="10"/>
      <c r="AG16" s="10"/>
      <c r="AH16" s="10"/>
      <c r="AI16" s="80"/>
      <c r="AJ16" s="72"/>
      <c r="AK16" s="72"/>
      <c r="AL16" s="72"/>
      <c r="AM16" s="72"/>
      <c r="AN16" s="74"/>
      <c r="AO16" s="74"/>
      <c r="AP16" s="74"/>
      <c r="AQ16" s="74"/>
      <c r="AR16" s="74"/>
      <c r="AS16" s="74"/>
      <c r="AT16" s="74"/>
      <c r="AU16" s="74"/>
      <c r="AV16" s="74"/>
      <c r="AW16" s="74"/>
      <c r="AX16" s="74"/>
      <c r="AY16" s="74"/>
      <c r="AZ16" s="74"/>
      <c r="BA16" s="74"/>
      <c r="BB16" s="74"/>
      <c r="BC16" s="74"/>
      <c r="BD16" s="74"/>
      <c r="BE16" s="74"/>
      <c r="BF16" s="74"/>
      <c r="BG16" s="74"/>
    </row>
    <row r="17" spans="2:59">
      <c r="B17" s="83">
        <v>12</v>
      </c>
      <c r="C17" s="252" t="s">
        <v>772</v>
      </c>
      <c r="D17" s="228" t="s">
        <v>741</v>
      </c>
      <c r="E17" s="228" t="s">
        <v>742</v>
      </c>
      <c r="F17" s="228" t="s">
        <v>6</v>
      </c>
      <c r="G17" s="228" t="s">
        <v>17</v>
      </c>
      <c r="H17" s="228" t="s">
        <v>25</v>
      </c>
      <c r="I17" s="228" t="s">
        <v>30</v>
      </c>
      <c r="J17" s="228" t="s">
        <v>112</v>
      </c>
      <c r="K17" s="229">
        <v>5</v>
      </c>
      <c r="L17" s="228" t="s">
        <v>112</v>
      </c>
      <c r="M17" s="229">
        <v>5</v>
      </c>
      <c r="N17" s="228" t="s">
        <v>112</v>
      </c>
      <c r="O17" s="229">
        <v>5</v>
      </c>
      <c r="P17" s="228" t="s">
        <v>36</v>
      </c>
      <c r="Q17" s="229">
        <v>4</v>
      </c>
      <c r="R17" s="229" t="s">
        <v>36</v>
      </c>
      <c r="S17" s="229">
        <v>4</v>
      </c>
      <c r="T17" s="229" t="s">
        <v>112</v>
      </c>
      <c r="U17" s="229">
        <v>5</v>
      </c>
      <c r="V17" s="229" t="s">
        <v>112</v>
      </c>
      <c r="W17" s="229">
        <v>5</v>
      </c>
      <c r="X17" s="229" t="s">
        <v>36</v>
      </c>
      <c r="Y17" s="229">
        <v>4</v>
      </c>
      <c r="Z17" s="229" t="s">
        <v>36</v>
      </c>
      <c r="AA17" s="229">
        <v>4</v>
      </c>
      <c r="AB17" s="233"/>
      <c r="AC17" s="10"/>
      <c r="AD17" s="10"/>
      <c r="AE17" s="10"/>
      <c r="AF17" s="10"/>
      <c r="AG17" s="10"/>
      <c r="AH17" s="10"/>
      <c r="AI17" s="80"/>
      <c r="AJ17" s="72"/>
      <c r="AK17" s="72"/>
      <c r="AL17" s="72"/>
      <c r="AM17" s="72"/>
      <c r="AN17" s="74"/>
      <c r="AO17" s="74"/>
      <c r="AP17" s="74"/>
      <c r="AQ17" s="74"/>
      <c r="AR17" s="74"/>
      <c r="AS17" s="74"/>
      <c r="AT17" s="74"/>
      <c r="AU17" s="74"/>
      <c r="AV17" s="74"/>
      <c r="AW17" s="74"/>
      <c r="AX17" s="74"/>
      <c r="AY17" s="74"/>
      <c r="AZ17" s="74"/>
      <c r="BA17" s="74"/>
      <c r="BB17" s="74"/>
      <c r="BC17" s="74"/>
      <c r="BD17" s="74"/>
      <c r="BE17" s="74"/>
      <c r="BF17" s="74"/>
      <c r="BG17" s="74"/>
    </row>
    <row r="18" spans="2:59">
      <c r="B18" s="83">
        <v>13</v>
      </c>
      <c r="C18" s="252"/>
      <c r="D18" s="228" t="s">
        <v>743</v>
      </c>
      <c r="E18" s="228" t="s">
        <v>744</v>
      </c>
      <c r="F18" s="228" t="s">
        <v>5</v>
      </c>
      <c r="G18" s="228" t="s">
        <v>9</v>
      </c>
      <c r="H18" s="228" t="s">
        <v>26</v>
      </c>
      <c r="I18" s="228" t="s">
        <v>29</v>
      </c>
      <c r="J18" s="228" t="s">
        <v>112</v>
      </c>
      <c r="K18" s="229">
        <v>5</v>
      </c>
      <c r="L18" s="228" t="s">
        <v>112</v>
      </c>
      <c r="M18" s="229">
        <v>5</v>
      </c>
      <c r="N18" s="228" t="s">
        <v>112</v>
      </c>
      <c r="O18" s="229">
        <v>5</v>
      </c>
      <c r="P18" s="228" t="s">
        <v>112</v>
      </c>
      <c r="Q18" s="229">
        <v>5</v>
      </c>
      <c r="R18" s="229" t="s">
        <v>112</v>
      </c>
      <c r="S18" s="229">
        <v>5</v>
      </c>
      <c r="T18" s="229" t="s">
        <v>112</v>
      </c>
      <c r="U18" s="229">
        <v>5</v>
      </c>
      <c r="V18" s="229" t="s">
        <v>112</v>
      </c>
      <c r="W18" s="229">
        <v>5</v>
      </c>
      <c r="X18" s="229" t="s">
        <v>112</v>
      </c>
      <c r="Y18" s="229">
        <v>5</v>
      </c>
      <c r="Z18" s="229" t="s">
        <v>112</v>
      </c>
      <c r="AA18" s="229">
        <v>5</v>
      </c>
      <c r="AB18" s="233"/>
      <c r="AC18" s="10"/>
      <c r="AD18" s="10"/>
      <c r="AE18" s="10"/>
      <c r="AF18" s="10"/>
      <c r="AG18" s="10"/>
      <c r="AH18" s="10"/>
      <c r="AI18" s="80"/>
      <c r="AJ18" s="72"/>
      <c r="AK18" s="72"/>
      <c r="AL18" s="72"/>
      <c r="AM18" s="72"/>
      <c r="AN18" s="74"/>
      <c r="AO18" s="74"/>
      <c r="AP18" s="74"/>
      <c r="AQ18" s="74"/>
      <c r="AR18" s="74"/>
      <c r="AS18" s="74"/>
      <c r="AT18" s="74"/>
      <c r="AU18" s="74"/>
      <c r="AV18" s="74"/>
      <c r="AW18" s="74"/>
      <c r="AX18" s="74"/>
      <c r="AY18" s="74"/>
      <c r="AZ18" s="74"/>
      <c r="BA18" s="74"/>
      <c r="BB18" s="74"/>
      <c r="BC18" s="74"/>
      <c r="BD18" s="74"/>
      <c r="BE18" s="74"/>
      <c r="BF18" s="74"/>
      <c r="BG18" s="74"/>
    </row>
    <row r="19" spans="2:59">
      <c r="B19" s="83">
        <v>14</v>
      </c>
      <c r="C19" s="252"/>
      <c r="D19" s="228" t="s">
        <v>745</v>
      </c>
      <c r="E19" s="228" t="s">
        <v>746</v>
      </c>
      <c r="F19" s="228" t="s">
        <v>6</v>
      </c>
      <c r="G19" s="228" t="s">
        <v>9</v>
      </c>
      <c r="H19" s="228" t="s">
        <v>23</v>
      </c>
      <c r="I19" s="228" t="s">
        <v>28</v>
      </c>
      <c r="J19" s="228" t="s">
        <v>112</v>
      </c>
      <c r="K19" s="229">
        <v>5</v>
      </c>
      <c r="L19" s="228" t="s">
        <v>112</v>
      </c>
      <c r="M19" s="229">
        <v>5</v>
      </c>
      <c r="N19" s="228" t="s">
        <v>112</v>
      </c>
      <c r="O19" s="229">
        <v>5</v>
      </c>
      <c r="P19" s="228" t="s">
        <v>36</v>
      </c>
      <c r="Q19" s="229">
        <v>4</v>
      </c>
      <c r="R19" s="229" t="s">
        <v>112</v>
      </c>
      <c r="S19" s="229">
        <v>5</v>
      </c>
      <c r="T19" s="229" t="s">
        <v>112</v>
      </c>
      <c r="U19" s="229">
        <v>5</v>
      </c>
      <c r="V19" s="229" t="s">
        <v>112</v>
      </c>
      <c r="W19" s="229">
        <v>5</v>
      </c>
      <c r="X19" s="229" t="s">
        <v>112</v>
      </c>
      <c r="Y19" s="229">
        <v>5</v>
      </c>
      <c r="Z19" s="229" t="s">
        <v>112</v>
      </c>
      <c r="AA19" s="229">
        <v>5</v>
      </c>
      <c r="AB19" s="233" t="s">
        <v>747</v>
      </c>
      <c r="AC19" s="10"/>
      <c r="AD19" s="10"/>
      <c r="AE19" s="10"/>
      <c r="AF19" s="10"/>
      <c r="AG19" s="10"/>
      <c r="AH19" s="10"/>
      <c r="AI19" s="80"/>
      <c r="AJ19" s="72"/>
      <c r="AK19" s="72"/>
      <c r="AL19" s="72"/>
      <c r="AM19" s="72"/>
      <c r="AN19" s="74"/>
      <c r="AO19" s="74"/>
      <c r="AP19" s="74"/>
      <c r="AQ19" s="74"/>
      <c r="AR19" s="74"/>
      <c r="AS19" s="74"/>
      <c r="AT19" s="74"/>
      <c r="AU19" s="74"/>
      <c r="AV19" s="74"/>
      <c r="AW19" s="74"/>
      <c r="AX19" s="74"/>
      <c r="AY19" s="74"/>
      <c r="AZ19" s="74"/>
      <c r="BA19" s="74"/>
      <c r="BB19" s="74"/>
      <c r="BC19" s="74"/>
      <c r="BD19" s="74"/>
      <c r="BE19" s="74"/>
      <c r="BF19" s="74"/>
      <c r="BG19" s="74"/>
    </row>
    <row r="20" spans="2:59">
      <c r="B20" s="83">
        <v>15</v>
      </c>
      <c r="C20" s="252"/>
      <c r="D20" s="228" t="s">
        <v>748</v>
      </c>
      <c r="E20" s="228" t="s">
        <v>749</v>
      </c>
      <c r="F20" s="228" t="s">
        <v>6</v>
      </c>
      <c r="G20" s="228" t="s">
        <v>11</v>
      </c>
      <c r="H20" s="228" t="s">
        <v>113</v>
      </c>
      <c r="I20" s="228" t="s">
        <v>29</v>
      </c>
      <c r="J20" s="228" t="s">
        <v>112</v>
      </c>
      <c r="K20" s="229">
        <v>5</v>
      </c>
      <c r="L20" s="228" t="s">
        <v>112</v>
      </c>
      <c r="M20" s="229">
        <v>5</v>
      </c>
      <c r="N20" s="228" t="s">
        <v>112</v>
      </c>
      <c r="O20" s="229">
        <v>5</v>
      </c>
      <c r="P20" s="228" t="s">
        <v>36</v>
      </c>
      <c r="Q20" s="229">
        <v>4</v>
      </c>
      <c r="R20" s="229" t="s">
        <v>36</v>
      </c>
      <c r="S20" s="229">
        <v>4</v>
      </c>
      <c r="T20" s="229" t="s">
        <v>36</v>
      </c>
      <c r="U20" s="229">
        <v>4</v>
      </c>
      <c r="V20" s="229" t="s">
        <v>36</v>
      </c>
      <c r="W20" s="229">
        <v>4</v>
      </c>
      <c r="X20" s="229" t="s">
        <v>112</v>
      </c>
      <c r="Y20" s="229">
        <v>5</v>
      </c>
      <c r="Z20" s="229" t="s">
        <v>112</v>
      </c>
      <c r="AA20" s="229">
        <v>5</v>
      </c>
      <c r="AB20" s="233"/>
      <c r="AC20" s="10"/>
      <c r="AD20" s="10"/>
      <c r="AE20" s="10"/>
      <c r="AF20" s="10"/>
      <c r="AG20" s="10"/>
      <c r="AH20" s="10"/>
      <c r="AI20" s="80"/>
      <c r="AJ20" s="72"/>
      <c r="AK20" s="72"/>
      <c r="AL20" s="72"/>
      <c r="AM20" s="72"/>
      <c r="AN20" s="74"/>
      <c r="AO20" s="74"/>
      <c r="AP20" s="74"/>
      <c r="AQ20" s="74"/>
      <c r="AR20" s="74"/>
      <c r="AS20" s="74"/>
      <c r="AT20" s="74"/>
      <c r="AU20" s="74"/>
      <c r="AV20" s="74"/>
      <c r="AW20" s="74"/>
      <c r="AX20" s="74"/>
      <c r="AY20" s="74"/>
      <c r="AZ20" s="74"/>
      <c r="BA20" s="74"/>
      <c r="BB20" s="74"/>
      <c r="BC20" s="74"/>
      <c r="BD20" s="74"/>
      <c r="BE20" s="74"/>
      <c r="BF20" s="74"/>
      <c r="BG20" s="74"/>
    </row>
    <row r="21" spans="2:59">
      <c r="B21" s="83">
        <v>16</v>
      </c>
      <c r="C21" s="252"/>
      <c r="D21" s="228" t="s">
        <v>750</v>
      </c>
      <c r="E21" s="228" t="s">
        <v>751</v>
      </c>
      <c r="F21" s="228" t="s">
        <v>5</v>
      </c>
      <c r="G21" s="228" t="s">
        <v>9</v>
      </c>
      <c r="H21" s="228" t="s">
        <v>26</v>
      </c>
      <c r="I21" s="228" t="s">
        <v>752</v>
      </c>
      <c r="J21" s="228" t="s">
        <v>36</v>
      </c>
      <c r="K21" s="229">
        <v>4</v>
      </c>
      <c r="L21" s="228" t="s">
        <v>36</v>
      </c>
      <c r="M21" s="229">
        <v>4</v>
      </c>
      <c r="N21" s="228" t="s">
        <v>36</v>
      </c>
      <c r="O21" s="229">
        <v>4</v>
      </c>
      <c r="P21" s="228" t="s">
        <v>36</v>
      </c>
      <c r="Q21" s="229">
        <v>4</v>
      </c>
      <c r="R21" s="229" t="s">
        <v>36</v>
      </c>
      <c r="S21" s="229">
        <v>4</v>
      </c>
      <c r="T21" s="229" t="s">
        <v>36</v>
      </c>
      <c r="U21" s="229">
        <v>4</v>
      </c>
      <c r="V21" s="229" t="s">
        <v>36</v>
      </c>
      <c r="W21" s="229">
        <v>4</v>
      </c>
      <c r="X21" s="229" t="s">
        <v>35</v>
      </c>
      <c r="Y21" s="229">
        <v>3</v>
      </c>
      <c r="Z21" s="229" t="s">
        <v>36</v>
      </c>
      <c r="AA21" s="229">
        <v>4</v>
      </c>
      <c r="AB21" s="233" t="s">
        <v>753</v>
      </c>
      <c r="AC21" s="10"/>
      <c r="AD21" s="10"/>
      <c r="AE21" s="10"/>
      <c r="AF21" s="10"/>
      <c r="AG21" s="10"/>
      <c r="AH21" s="10"/>
      <c r="AI21" s="80"/>
      <c r="AJ21" s="72"/>
      <c r="AK21" s="72"/>
      <c r="AL21" s="72"/>
      <c r="AM21" s="72"/>
      <c r="AN21" s="74"/>
      <c r="AO21" s="74"/>
      <c r="AP21" s="74"/>
      <c r="AQ21" s="74"/>
      <c r="AR21" s="74"/>
      <c r="AS21" s="74"/>
      <c r="AT21" s="74"/>
      <c r="AU21" s="74"/>
      <c r="AV21" s="74"/>
      <c r="AW21" s="74"/>
      <c r="AX21" s="74"/>
      <c r="AY21" s="74"/>
      <c r="AZ21" s="74"/>
      <c r="BA21" s="74"/>
      <c r="BB21" s="74"/>
      <c r="BC21" s="74"/>
      <c r="BD21" s="74"/>
      <c r="BE21" s="74"/>
      <c r="BF21" s="74"/>
      <c r="BG21" s="74"/>
    </row>
    <row r="22" spans="2:59">
      <c r="B22" s="83">
        <v>17</v>
      </c>
      <c r="C22" s="252"/>
      <c r="D22" s="228" t="s">
        <v>754</v>
      </c>
      <c r="E22" s="228" t="s">
        <v>755</v>
      </c>
      <c r="F22" s="228" t="s">
        <v>6</v>
      </c>
      <c r="G22" s="228" t="s">
        <v>19</v>
      </c>
      <c r="H22" s="228" t="s">
        <v>26</v>
      </c>
      <c r="I22" s="228" t="s">
        <v>30</v>
      </c>
      <c r="J22" s="228" t="s">
        <v>112</v>
      </c>
      <c r="K22" s="229">
        <v>5</v>
      </c>
      <c r="L22" s="228" t="s">
        <v>112</v>
      </c>
      <c r="M22" s="229">
        <v>5</v>
      </c>
      <c r="N22" s="228" t="s">
        <v>112</v>
      </c>
      <c r="O22" s="229">
        <v>5</v>
      </c>
      <c r="P22" s="228" t="s">
        <v>112</v>
      </c>
      <c r="Q22" s="229">
        <v>5</v>
      </c>
      <c r="R22" s="229" t="s">
        <v>36</v>
      </c>
      <c r="S22" s="229">
        <v>4</v>
      </c>
      <c r="T22" s="229" t="s">
        <v>36</v>
      </c>
      <c r="U22" s="229">
        <v>4</v>
      </c>
      <c r="V22" s="229" t="s">
        <v>112</v>
      </c>
      <c r="W22" s="229">
        <v>5</v>
      </c>
      <c r="X22" s="229" t="s">
        <v>36</v>
      </c>
      <c r="Y22" s="229">
        <v>4</v>
      </c>
      <c r="Z22" s="229" t="s">
        <v>36</v>
      </c>
      <c r="AA22" s="229">
        <v>4</v>
      </c>
      <c r="AB22" s="233" t="s">
        <v>756</v>
      </c>
      <c r="AC22" s="10"/>
      <c r="AD22" s="10"/>
      <c r="AE22" s="10"/>
      <c r="AF22" s="10"/>
      <c r="AG22" s="10"/>
      <c r="AH22" s="10"/>
      <c r="AI22" s="80"/>
      <c r="AJ22" s="72"/>
      <c r="AK22" s="72"/>
      <c r="AL22" s="72"/>
      <c r="AM22" s="72"/>
      <c r="AN22" s="74"/>
      <c r="AO22" s="74"/>
      <c r="AP22" s="74"/>
      <c r="AQ22" s="74"/>
      <c r="AR22" s="74"/>
      <c r="AS22" s="74"/>
      <c r="AT22" s="74"/>
      <c r="AU22" s="74"/>
      <c r="AV22" s="74"/>
      <c r="AW22" s="74"/>
      <c r="AX22" s="74"/>
      <c r="AY22" s="74"/>
      <c r="AZ22" s="74"/>
      <c r="BA22" s="74"/>
      <c r="BB22" s="74"/>
      <c r="BC22" s="74"/>
      <c r="BD22" s="74"/>
      <c r="BE22" s="74"/>
      <c r="BF22" s="74"/>
      <c r="BG22" s="74"/>
    </row>
    <row r="23" spans="2:59">
      <c r="B23" s="83">
        <v>18</v>
      </c>
      <c r="C23" s="252"/>
      <c r="D23" s="228" t="s">
        <v>757</v>
      </c>
      <c r="E23" s="228" t="s">
        <v>758</v>
      </c>
      <c r="F23" s="228" t="s">
        <v>6</v>
      </c>
      <c r="G23" s="228" t="s">
        <v>20</v>
      </c>
      <c r="H23" s="228" t="s">
        <v>25</v>
      </c>
      <c r="I23" s="228" t="s">
        <v>30</v>
      </c>
      <c r="J23" s="228" t="s">
        <v>112</v>
      </c>
      <c r="K23" s="229">
        <v>5</v>
      </c>
      <c r="L23" s="228" t="s">
        <v>112</v>
      </c>
      <c r="M23" s="229">
        <v>5</v>
      </c>
      <c r="N23" s="228" t="s">
        <v>112</v>
      </c>
      <c r="O23" s="229">
        <v>5</v>
      </c>
      <c r="P23" s="228" t="s">
        <v>112</v>
      </c>
      <c r="Q23" s="229">
        <v>5</v>
      </c>
      <c r="R23" s="229" t="s">
        <v>112</v>
      </c>
      <c r="S23" s="229">
        <v>5</v>
      </c>
      <c r="T23" s="229" t="s">
        <v>112</v>
      </c>
      <c r="U23" s="229">
        <v>5</v>
      </c>
      <c r="V23" s="229" t="s">
        <v>112</v>
      </c>
      <c r="W23" s="229">
        <v>5</v>
      </c>
      <c r="X23" s="229" t="s">
        <v>112</v>
      </c>
      <c r="Y23" s="229">
        <v>5</v>
      </c>
      <c r="Z23" s="229" t="s">
        <v>112</v>
      </c>
      <c r="AA23" s="229">
        <v>5</v>
      </c>
      <c r="AB23" s="233"/>
      <c r="AC23" s="10"/>
      <c r="AD23" s="10"/>
      <c r="AE23" s="10"/>
      <c r="AF23" s="10"/>
      <c r="AG23" s="10"/>
      <c r="AH23" s="10"/>
      <c r="AI23" s="80"/>
      <c r="AJ23" s="72"/>
      <c r="AK23" s="72"/>
      <c r="AL23" s="72"/>
      <c r="AM23" s="72"/>
      <c r="AN23" s="74"/>
      <c r="AO23" s="74"/>
      <c r="AP23" s="74"/>
      <c r="AQ23" s="74"/>
      <c r="AR23" s="74"/>
      <c r="AS23" s="74"/>
      <c r="AT23" s="74"/>
      <c r="AU23" s="74"/>
      <c r="AV23" s="74"/>
      <c r="AW23" s="74"/>
      <c r="AX23" s="74"/>
      <c r="AY23" s="74"/>
      <c r="AZ23" s="74"/>
      <c r="BA23" s="74"/>
      <c r="BB23" s="74"/>
      <c r="BC23" s="74"/>
      <c r="BD23" s="74"/>
      <c r="BE23" s="74"/>
      <c r="BF23" s="74"/>
      <c r="BG23" s="74"/>
    </row>
    <row r="24" spans="2:59">
      <c r="B24" s="83">
        <v>19</v>
      </c>
      <c r="C24" s="252"/>
      <c r="D24" s="228" t="s">
        <v>759</v>
      </c>
      <c r="E24" s="228" t="s">
        <v>760</v>
      </c>
      <c r="F24" s="228" t="s">
        <v>6</v>
      </c>
      <c r="G24" s="228" t="s">
        <v>18</v>
      </c>
      <c r="H24" s="228" t="s">
        <v>24</v>
      </c>
      <c r="I24" s="228" t="s">
        <v>30</v>
      </c>
      <c r="J24" s="228" t="s">
        <v>112</v>
      </c>
      <c r="K24" s="229">
        <v>5</v>
      </c>
      <c r="L24" s="228" t="s">
        <v>112</v>
      </c>
      <c r="M24" s="229">
        <v>5</v>
      </c>
      <c r="N24" s="228" t="s">
        <v>112</v>
      </c>
      <c r="O24" s="229">
        <v>5</v>
      </c>
      <c r="P24" s="228" t="s">
        <v>36</v>
      </c>
      <c r="Q24" s="229">
        <v>4</v>
      </c>
      <c r="R24" s="229" t="s">
        <v>112</v>
      </c>
      <c r="S24" s="229">
        <v>5</v>
      </c>
      <c r="T24" s="229" t="s">
        <v>112</v>
      </c>
      <c r="U24" s="229">
        <v>5</v>
      </c>
      <c r="V24" s="229" t="s">
        <v>112</v>
      </c>
      <c r="W24" s="229">
        <v>5</v>
      </c>
      <c r="X24" s="229" t="s">
        <v>36</v>
      </c>
      <c r="Y24" s="229">
        <v>4</v>
      </c>
      <c r="Z24" s="229" t="s">
        <v>112</v>
      </c>
      <c r="AA24" s="229">
        <v>5</v>
      </c>
      <c r="AB24" s="233"/>
      <c r="AC24" s="79"/>
      <c r="AD24" s="79"/>
      <c r="AE24" s="79"/>
      <c r="AF24" s="79"/>
      <c r="AG24" s="79"/>
      <c r="AH24" s="79"/>
      <c r="AI24" s="80"/>
      <c r="AJ24" s="72"/>
      <c r="AK24" s="72"/>
      <c r="AL24" s="72"/>
      <c r="AM24" s="72"/>
      <c r="AN24" s="74"/>
      <c r="AO24" s="74"/>
      <c r="AP24" s="74"/>
      <c r="AQ24" s="74"/>
      <c r="AR24" s="74"/>
      <c r="AS24" s="74"/>
      <c r="AT24" s="74"/>
      <c r="AU24" s="74"/>
      <c r="AV24" s="74"/>
      <c r="AW24" s="74"/>
      <c r="AX24" s="74"/>
      <c r="AY24" s="74"/>
      <c r="AZ24" s="74"/>
      <c r="BA24" s="74"/>
      <c r="BB24" s="74"/>
      <c r="BC24" s="74"/>
      <c r="BD24" s="74"/>
      <c r="BE24" s="74"/>
      <c r="BF24" s="74"/>
      <c r="BG24" s="74"/>
    </row>
    <row r="25" spans="2:59">
      <c r="B25" s="83">
        <v>20</v>
      </c>
      <c r="C25" s="252"/>
      <c r="D25" s="228" t="s">
        <v>761</v>
      </c>
      <c r="E25" s="228" t="s">
        <v>762</v>
      </c>
      <c r="F25" s="228" t="s">
        <v>6</v>
      </c>
      <c r="G25" s="228" t="s">
        <v>9</v>
      </c>
      <c r="H25" s="228" t="s">
        <v>24</v>
      </c>
      <c r="I25" s="228" t="s">
        <v>30</v>
      </c>
      <c r="J25" s="228" t="s">
        <v>112</v>
      </c>
      <c r="K25" s="229">
        <v>5</v>
      </c>
      <c r="L25" s="228" t="s">
        <v>112</v>
      </c>
      <c r="M25" s="229">
        <v>5</v>
      </c>
      <c r="N25" s="228" t="s">
        <v>112</v>
      </c>
      <c r="O25" s="229">
        <v>5</v>
      </c>
      <c r="P25" s="228" t="s">
        <v>112</v>
      </c>
      <c r="Q25" s="229">
        <v>5</v>
      </c>
      <c r="R25" s="229" t="s">
        <v>112</v>
      </c>
      <c r="S25" s="229">
        <v>5</v>
      </c>
      <c r="T25" s="229" t="s">
        <v>112</v>
      </c>
      <c r="U25" s="229">
        <v>5</v>
      </c>
      <c r="V25" s="229" t="s">
        <v>112</v>
      </c>
      <c r="W25" s="229">
        <v>5</v>
      </c>
      <c r="X25" s="229" t="s">
        <v>36</v>
      </c>
      <c r="Y25" s="229">
        <v>4</v>
      </c>
      <c r="Z25" s="229" t="s">
        <v>112</v>
      </c>
      <c r="AA25" s="229">
        <v>5</v>
      </c>
      <c r="AB25" s="233"/>
      <c r="AC25" s="10"/>
      <c r="AD25" s="79"/>
      <c r="AE25" s="79"/>
      <c r="AF25" s="79"/>
      <c r="AG25" s="79"/>
      <c r="AH25" s="79"/>
      <c r="AI25" s="81"/>
      <c r="AJ25" s="72"/>
      <c r="AK25" s="72"/>
      <c r="AL25" s="72"/>
      <c r="AM25" s="72"/>
      <c r="AN25" s="74"/>
      <c r="AO25" s="74"/>
      <c r="AP25" s="74"/>
      <c r="AQ25" s="74"/>
      <c r="AR25" s="74"/>
      <c r="AS25" s="74"/>
      <c r="AT25" s="74"/>
      <c r="AU25" s="74"/>
      <c r="AV25" s="74"/>
      <c r="AW25" s="74"/>
      <c r="AX25" s="74"/>
      <c r="AY25" s="74"/>
      <c r="AZ25" s="74"/>
      <c r="BA25" s="74"/>
      <c r="BB25" s="74"/>
      <c r="BC25" s="74"/>
      <c r="BD25" s="74"/>
      <c r="BE25" s="74"/>
      <c r="BF25" s="74"/>
      <c r="BG25" s="74"/>
    </row>
    <row r="26" spans="2:59">
      <c r="B26" s="83">
        <v>21</v>
      </c>
      <c r="C26" s="252"/>
      <c r="D26" s="228" t="s">
        <v>763</v>
      </c>
      <c r="E26" s="228" t="s">
        <v>764</v>
      </c>
      <c r="F26" s="228" t="s">
        <v>5</v>
      </c>
      <c r="G26" s="228" t="s">
        <v>9</v>
      </c>
      <c r="H26" s="228" t="s">
        <v>113</v>
      </c>
      <c r="I26" s="228" t="s">
        <v>32</v>
      </c>
      <c r="J26" s="228" t="s">
        <v>112</v>
      </c>
      <c r="K26" s="229">
        <v>5</v>
      </c>
      <c r="L26" s="228" t="s">
        <v>112</v>
      </c>
      <c r="M26" s="229">
        <v>5</v>
      </c>
      <c r="N26" s="228" t="s">
        <v>112</v>
      </c>
      <c r="O26" s="229">
        <v>5</v>
      </c>
      <c r="P26" s="228" t="s">
        <v>36</v>
      </c>
      <c r="Q26" s="229">
        <v>4</v>
      </c>
      <c r="R26" s="229" t="s">
        <v>36</v>
      </c>
      <c r="S26" s="229">
        <v>4</v>
      </c>
      <c r="T26" s="229" t="s">
        <v>36</v>
      </c>
      <c r="U26" s="229">
        <v>4</v>
      </c>
      <c r="V26" s="229" t="s">
        <v>36</v>
      </c>
      <c r="W26" s="229">
        <v>4</v>
      </c>
      <c r="X26" s="229" t="s">
        <v>36</v>
      </c>
      <c r="Y26" s="229">
        <v>4</v>
      </c>
      <c r="Z26" s="229" t="s">
        <v>36</v>
      </c>
      <c r="AA26" s="229">
        <v>4</v>
      </c>
      <c r="AB26" s="233" t="s">
        <v>765</v>
      </c>
      <c r="AC26" s="10"/>
      <c r="AD26" s="79"/>
      <c r="AE26" s="79"/>
      <c r="AF26" s="79"/>
      <c r="AG26" s="79"/>
      <c r="AH26" s="79"/>
      <c r="AI26" s="81"/>
      <c r="AJ26" s="72"/>
      <c r="AK26" s="72"/>
      <c r="AL26" s="72"/>
      <c r="AM26" s="72"/>
      <c r="AN26" s="74"/>
      <c r="AO26" s="74"/>
      <c r="AP26" s="74"/>
      <c r="AQ26" s="74"/>
      <c r="AR26" s="74"/>
      <c r="AS26" s="74"/>
      <c r="AT26" s="74"/>
      <c r="AU26" s="74"/>
      <c r="AV26" s="74"/>
      <c r="AW26" s="74"/>
      <c r="AX26" s="74"/>
      <c r="AY26" s="74"/>
      <c r="AZ26" s="74"/>
      <c r="BA26" s="74"/>
      <c r="BB26" s="74"/>
      <c r="BC26" s="74"/>
      <c r="BD26" s="74"/>
      <c r="BE26" s="74"/>
      <c r="BF26" s="74"/>
      <c r="BG26" s="74"/>
    </row>
    <row r="27" spans="2:59">
      <c r="B27" s="83">
        <v>22</v>
      </c>
      <c r="C27" s="252"/>
      <c r="D27" s="228" t="s">
        <v>766</v>
      </c>
      <c r="E27" s="228" t="s">
        <v>767</v>
      </c>
      <c r="F27" s="228" t="s">
        <v>6</v>
      </c>
      <c r="G27" s="228" t="s">
        <v>9</v>
      </c>
      <c r="H27" s="228" t="s">
        <v>113</v>
      </c>
      <c r="I27" s="228" t="s">
        <v>32</v>
      </c>
      <c r="J27" s="228" t="s">
        <v>112</v>
      </c>
      <c r="K27" s="229">
        <v>5</v>
      </c>
      <c r="L27" s="228" t="s">
        <v>112</v>
      </c>
      <c r="M27" s="229">
        <v>5</v>
      </c>
      <c r="N27" s="228" t="s">
        <v>112</v>
      </c>
      <c r="O27" s="229">
        <v>5</v>
      </c>
      <c r="P27" s="228" t="s">
        <v>112</v>
      </c>
      <c r="Q27" s="229">
        <v>5</v>
      </c>
      <c r="R27" s="229" t="s">
        <v>112</v>
      </c>
      <c r="S27" s="229">
        <v>5</v>
      </c>
      <c r="T27" s="229" t="s">
        <v>112</v>
      </c>
      <c r="U27" s="229">
        <v>5</v>
      </c>
      <c r="V27" s="229" t="s">
        <v>112</v>
      </c>
      <c r="W27" s="229">
        <v>5</v>
      </c>
      <c r="X27" s="229" t="s">
        <v>112</v>
      </c>
      <c r="Y27" s="229">
        <v>5</v>
      </c>
      <c r="Z27" s="229" t="s">
        <v>112</v>
      </c>
      <c r="AA27" s="229">
        <v>5</v>
      </c>
      <c r="AB27" s="233" t="s">
        <v>768</v>
      </c>
      <c r="AC27" s="10"/>
      <c r="AD27" s="79"/>
      <c r="AE27" s="79"/>
      <c r="AF27" s="79"/>
      <c r="AG27" s="79"/>
      <c r="AH27" s="79"/>
      <c r="AI27" s="81"/>
      <c r="AJ27" s="72"/>
      <c r="AK27" s="72"/>
      <c r="AL27" s="72"/>
      <c r="AM27" s="72"/>
      <c r="AN27" s="74"/>
      <c r="AO27" s="74"/>
      <c r="AP27" s="74"/>
      <c r="AQ27" s="74"/>
      <c r="AR27" s="74"/>
      <c r="AS27" s="74"/>
      <c r="AT27" s="74"/>
      <c r="AU27" s="74"/>
      <c r="AV27" s="74"/>
      <c r="AW27" s="74"/>
      <c r="AX27" s="74"/>
      <c r="AY27" s="74"/>
      <c r="AZ27" s="74"/>
      <c r="BA27" s="74"/>
      <c r="BB27" s="74"/>
      <c r="BC27" s="74"/>
      <c r="BD27" s="74"/>
      <c r="BE27" s="74"/>
      <c r="BF27" s="74"/>
      <c r="BG27" s="74"/>
    </row>
    <row r="28" spans="2:59">
      <c r="B28" s="83">
        <v>23</v>
      </c>
      <c r="C28" s="252"/>
      <c r="D28" s="228" t="s">
        <v>769</v>
      </c>
      <c r="E28" s="228" t="s">
        <v>770</v>
      </c>
      <c r="F28" s="228" t="s">
        <v>5</v>
      </c>
      <c r="G28" s="228" t="s">
        <v>8</v>
      </c>
      <c r="H28" s="228" t="s">
        <v>26</v>
      </c>
      <c r="I28" s="228" t="s">
        <v>32</v>
      </c>
      <c r="J28" s="228" t="s">
        <v>36</v>
      </c>
      <c r="K28" s="229">
        <v>4</v>
      </c>
      <c r="L28" s="228" t="s">
        <v>36</v>
      </c>
      <c r="M28" s="229">
        <v>4</v>
      </c>
      <c r="N28" s="228" t="s">
        <v>36</v>
      </c>
      <c r="O28" s="229">
        <v>4</v>
      </c>
      <c r="P28" s="228" t="s">
        <v>36</v>
      </c>
      <c r="Q28" s="229">
        <v>4</v>
      </c>
      <c r="R28" s="229" t="s">
        <v>36</v>
      </c>
      <c r="S28" s="229">
        <v>4</v>
      </c>
      <c r="T28" s="229" t="s">
        <v>36</v>
      </c>
      <c r="U28" s="229">
        <v>4</v>
      </c>
      <c r="V28" s="229" t="s">
        <v>35</v>
      </c>
      <c r="W28" s="229">
        <v>3</v>
      </c>
      <c r="X28" s="229" t="s">
        <v>36</v>
      </c>
      <c r="Y28" s="229">
        <v>4</v>
      </c>
      <c r="Z28" s="229" t="s">
        <v>36</v>
      </c>
      <c r="AA28" s="229">
        <v>4</v>
      </c>
      <c r="AB28" s="233" t="s">
        <v>771</v>
      </c>
      <c r="AC28" s="10"/>
      <c r="AD28" s="79"/>
      <c r="AE28" s="79"/>
      <c r="AF28" s="79"/>
      <c r="AG28" s="79"/>
      <c r="AH28" s="79"/>
      <c r="AI28" s="81"/>
      <c r="AJ28" s="72"/>
      <c r="AK28" s="72"/>
      <c r="AL28" s="72"/>
      <c r="AM28" s="72"/>
      <c r="AN28" s="74"/>
      <c r="AO28" s="74"/>
      <c r="AP28" s="74"/>
      <c r="AQ28" s="74"/>
      <c r="AR28" s="74"/>
      <c r="AS28" s="74"/>
      <c r="AT28" s="74"/>
      <c r="AU28" s="74"/>
      <c r="AV28" s="74"/>
      <c r="AW28" s="74"/>
      <c r="AX28" s="74"/>
      <c r="AY28" s="74"/>
      <c r="AZ28" s="74"/>
      <c r="BA28" s="74"/>
      <c r="BB28" s="74"/>
      <c r="BC28" s="74"/>
      <c r="BD28" s="74"/>
      <c r="BE28" s="74"/>
      <c r="BF28" s="74"/>
      <c r="BG28" s="74"/>
    </row>
    <row r="29" spans="2:59">
      <c r="B29" s="83">
        <v>24</v>
      </c>
      <c r="C29" s="252" t="s">
        <v>250</v>
      </c>
      <c r="D29" s="228" t="s">
        <v>773</v>
      </c>
      <c r="E29" s="228" t="s">
        <v>774</v>
      </c>
      <c r="F29" s="228" t="s">
        <v>6</v>
      </c>
      <c r="G29" s="228" t="s">
        <v>9</v>
      </c>
      <c r="H29" s="228" t="s">
        <v>113</v>
      </c>
      <c r="I29" s="228" t="s">
        <v>30</v>
      </c>
      <c r="J29" s="228" t="s">
        <v>112</v>
      </c>
      <c r="K29" s="229">
        <v>5</v>
      </c>
      <c r="L29" s="228" t="s">
        <v>112</v>
      </c>
      <c r="M29" s="229">
        <v>5</v>
      </c>
      <c r="N29" s="228" t="s">
        <v>112</v>
      </c>
      <c r="O29" s="229">
        <v>5</v>
      </c>
      <c r="P29" s="228" t="s">
        <v>112</v>
      </c>
      <c r="Q29" s="229">
        <v>5</v>
      </c>
      <c r="R29" s="229" t="s">
        <v>35</v>
      </c>
      <c r="S29" s="229">
        <v>3</v>
      </c>
      <c r="T29" s="229" t="s">
        <v>112</v>
      </c>
      <c r="U29" s="229">
        <v>5</v>
      </c>
      <c r="V29" s="229" t="s">
        <v>112</v>
      </c>
      <c r="W29" s="229">
        <v>5</v>
      </c>
      <c r="X29" s="229" t="s">
        <v>112</v>
      </c>
      <c r="Y29" s="229">
        <v>5</v>
      </c>
      <c r="Z29" s="229" t="s">
        <v>112</v>
      </c>
      <c r="AA29" s="229">
        <v>5</v>
      </c>
      <c r="AB29" s="233"/>
      <c r="AC29" s="10"/>
      <c r="AD29" s="79"/>
      <c r="AE29" s="79"/>
      <c r="AF29" s="79"/>
      <c r="AG29" s="79"/>
      <c r="AH29" s="79"/>
      <c r="AI29" s="81"/>
      <c r="AJ29" s="72"/>
      <c r="AK29" s="72"/>
      <c r="AL29" s="72"/>
      <c r="AM29" s="72"/>
      <c r="AN29" s="74"/>
      <c r="AO29" s="74"/>
      <c r="AP29" s="74"/>
      <c r="AQ29" s="74"/>
      <c r="AR29" s="74"/>
      <c r="AS29" s="74"/>
      <c r="AT29" s="74"/>
      <c r="AU29" s="74"/>
      <c r="AV29" s="74"/>
      <c r="AW29" s="74"/>
      <c r="AX29" s="74"/>
      <c r="AY29" s="74"/>
      <c r="AZ29" s="74"/>
      <c r="BA29" s="74"/>
      <c r="BB29" s="74"/>
      <c r="BC29" s="74"/>
      <c r="BD29" s="74"/>
      <c r="BE29" s="74"/>
      <c r="BF29" s="74"/>
      <c r="BG29" s="74"/>
    </row>
    <row r="30" spans="2:59">
      <c r="B30" s="83">
        <v>25</v>
      </c>
      <c r="C30" s="252"/>
      <c r="D30" s="228" t="s">
        <v>775</v>
      </c>
      <c r="E30" s="228" t="s">
        <v>776</v>
      </c>
      <c r="F30" s="228" t="s">
        <v>5</v>
      </c>
      <c r="G30" s="228" t="s">
        <v>9</v>
      </c>
      <c r="H30" s="228" t="s">
        <v>113</v>
      </c>
      <c r="I30" s="228" t="s">
        <v>32</v>
      </c>
      <c r="J30" s="228" t="s">
        <v>36</v>
      </c>
      <c r="K30" s="229">
        <v>4</v>
      </c>
      <c r="L30" s="228" t="s">
        <v>36</v>
      </c>
      <c r="M30" s="229">
        <v>4</v>
      </c>
      <c r="N30" s="228" t="s">
        <v>36</v>
      </c>
      <c r="O30" s="229">
        <v>4</v>
      </c>
      <c r="P30" s="228" t="s">
        <v>36</v>
      </c>
      <c r="Q30" s="229">
        <v>4</v>
      </c>
      <c r="R30" s="229" t="s">
        <v>36</v>
      </c>
      <c r="S30" s="229">
        <v>4</v>
      </c>
      <c r="T30" s="229" t="s">
        <v>36</v>
      </c>
      <c r="U30" s="229">
        <v>4</v>
      </c>
      <c r="V30" s="229" t="s">
        <v>36</v>
      </c>
      <c r="W30" s="229">
        <v>4</v>
      </c>
      <c r="X30" s="229" t="s">
        <v>36</v>
      </c>
      <c r="Y30" s="229">
        <v>4</v>
      </c>
      <c r="Z30" s="229" t="s">
        <v>36</v>
      </c>
      <c r="AA30" s="229">
        <v>4</v>
      </c>
      <c r="AB30" s="233" t="s">
        <v>777</v>
      </c>
      <c r="AC30" s="10"/>
      <c r="AD30" s="79"/>
      <c r="AE30" s="79"/>
      <c r="AF30" s="79"/>
      <c r="AG30" s="79"/>
      <c r="AH30" s="79"/>
      <c r="AI30" s="81"/>
      <c r="AJ30" s="72"/>
      <c r="AK30" s="72"/>
      <c r="AL30" s="72"/>
      <c r="AM30" s="72"/>
      <c r="AN30" s="74"/>
      <c r="AO30" s="74"/>
      <c r="AP30" s="74"/>
      <c r="AQ30" s="74"/>
      <c r="AR30" s="74"/>
      <c r="AS30" s="74"/>
      <c r="AT30" s="74"/>
      <c r="AU30" s="74"/>
      <c r="AV30" s="74"/>
      <c r="AW30" s="74"/>
      <c r="AX30" s="74"/>
      <c r="AY30" s="74"/>
      <c r="AZ30" s="74"/>
      <c r="BA30" s="74"/>
      <c r="BB30" s="74"/>
      <c r="BC30" s="74"/>
      <c r="BD30" s="74"/>
      <c r="BE30" s="74"/>
      <c r="BF30" s="74"/>
      <c r="BG30" s="74"/>
    </row>
    <row r="31" spans="2:59" ht="16.5" customHeight="1">
      <c r="B31" s="83">
        <v>26</v>
      </c>
      <c r="C31" s="252"/>
      <c r="D31" s="228" t="s">
        <v>778</v>
      </c>
      <c r="E31" s="228" t="s">
        <v>779</v>
      </c>
      <c r="F31" s="228" t="s">
        <v>6</v>
      </c>
      <c r="G31" s="228" t="s">
        <v>18</v>
      </c>
      <c r="H31" s="228" t="s">
        <v>26</v>
      </c>
      <c r="I31" s="228" t="s">
        <v>30</v>
      </c>
      <c r="J31" s="228" t="s">
        <v>112</v>
      </c>
      <c r="K31" s="229">
        <v>5</v>
      </c>
      <c r="L31" s="228" t="s">
        <v>36</v>
      </c>
      <c r="M31" s="229">
        <v>4</v>
      </c>
      <c r="N31" s="228" t="s">
        <v>112</v>
      </c>
      <c r="O31" s="229">
        <v>5</v>
      </c>
      <c r="P31" s="228" t="s">
        <v>112</v>
      </c>
      <c r="Q31" s="229">
        <v>5</v>
      </c>
      <c r="R31" s="229" t="s">
        <v>112</v>
      </c>
      <c r="S31" s="229">
        <v>5</v>
      </c>
      <c r="T31" s="229" t="s">
        <v>112</v>
      </c>
      <c r="U31" s="229">
        <v>5</v>
      </c>
      <c r="V31" s="229" t="s">
        <v>112</v>
      </c>
      <c r="W31" s="229">
        <v>5</v>
      </c>
      <c r="X31" s="229" t="s">
        <v>112</v>
      </c>
      <c r="Y31" s="229">
        <v>5</v>
      </c>
      <c r="Z31" s="229" t="s">
        <v>112</v>
      </c>
      <c r="AA31" s="229">
        <v>5</v>
      </c>
      <c r="AB31" s="233" t="s">
        <v>780</v>
      </c>
      <c r="AC31" s="79"/>
      <c r="AD31" s="79"/>
      <c r="AE31" s="79"/>
      <c r="AF31" s="79"/>
      <c r="AG31" s="79"/>
      <c r="AH31" s="79"/>
      <c r="AI31" s="80"/>
      <c r="AJ31" s="72"/>
      <c r="AK31" s="72"/>
      <c r="AL31" s="72"/>
      <c r="AM31" s="72"/>
      <c r="AN31" s="74"/>
      <c r="AO31" s="74"/>
      <c r="AP31" s="74"/>
      <c r="AQ31" s="74"/>
      <c r="AR31" s="74"/>
      <c r="AS31" s="74"/>
      <c r="AT31" s="74"/>
      <c r="AU31" s="74"/>
      <c r="AV31" s="74"/>
      <c r="AW31" s="74"/>
      <c r="AX31" s="74"/>
      <c r="AY31" s="74"/>
      <c r="AZ31" s="74"/>
      <c r="BA31" s="74"/>
      <c r="BB31" s="74"/>
      <c r="BC31" s="74"/>
      <c r="BD31" s="74"/>
      <c r="BE31" s="74"/>
      <c r="BF31" s="74"/>
      <c r="BG31" s="74"/>
    </row>
    <row r="32" spans="2:59" ht="16.5" customHeight="1">
      <c r="B32" s="83">
        <v>27</v>
      </c>
      <c r="C32" s="252"/>
      <c r="D32" s="228" t="s">
        <v>781</v>
      </c>
      <c r="E32" s="228" t="s">
        <v>782</v>
      </c>
      <c r="F32" s="228" t="s">
        <v>6</v>
      </c>
      <c r="G32" s="228" t="s">
        <v>9</v>
      </c>
      <c r="H32" s="228" t="s">
        <v>113</v>
      </c>
      <c r="I32" s="228" t="s">
        <v>30</v>
      </c>
      <c r="J32" s="228" t="s">
        <v>112</v>
      </c>
      <c r="K32" s="229">
        <v>5</v>
      </c>
      <c r="L32" s="228" t="s">
        <v>112</v>
      </c>
      <c r="M32" s="229">
        <v>5</v>
      </c>
      <c r="N32" s="228" t="s">
        <v>112</v>
      </c>
      <c r="O32" s="229">
        <v>5</v>
      </c>
      <c r="P32" s="228" t="s">
        <v>112</v>
      </c>
      <c r="Q32" s="229">
        <v>5</v>
      </c>
      <c r="R32" s="229" t="s">
        <v>36</v>
      </c>
      <c r="S32" s="229">
        <v>4</v>
      </c>
      <c r="T32" s="229" t="s">
        <v>36</v>
      </c>
      <c r="U32" s="229">
        <v>4</v>
      </c>
      <c r="V32" s="229" t="s">
        <v>36</v>
      </c>
      <c r="W32" s="229">
        <v>4</v>
      </c>
      <c r="X32" s="229" t="s">
        <v>36</v>
      </c>
      <c r="Y32" s="229">
        <v>4</v>
      </c>
      <c r="Z32" s="229" t="s">
        <v>36</v>
      </c>
      <c r="AA32" s="229">
        <v>4</v>
      </c>
      <c r="AB32" s="233" t="s">
        <v>783</v>
      </c>
      <c r="AC32" s="79"/>
      <c r="AD32" s="79"/>
      <c r="AE32" s="79"/>
      <c r="AF32" s="79"/>
      <c r="AG32" s="79"/>
      <c r="AH32" s="79"/>
      <c r="AI32" s="80"/>
      <c r="AJ32" s="72"/>
      <c r="AK32" s="72"/>
      <c r="AL32" s="72"/>
      <c r="AM32" s="72"/>
      <c r="AN32" s="74"/>
      <c r="AO32" s="74"/>
      <c r="AP32" s="74"/>
      <c r="AQ32" s="74"/>
      <c r="AR32" s="74"/>
      <c r="AS32" s="74"/>
      <c r="AT32" s="74"/>
      <c r="AU32" s="74"/>
      <c r="AV32" s="74"/>
      <c r="AW32" s="74"/>
      <c r="AX32" s="74"/>
      <c r="AY32" s="74"/>
      <c r="AZ32" s="74"/>
      <c r="BA32" s="74"/>
      <c r="BB32" s="74"/>
      <c r="BC32" s="74"/>
      <c r="BD32" s="74"/>
      <c r="BE32" s="74"/>
      <c r="BF32" s="74"/>
      <c r="BG32" s="74"/>
    </row>
    <row r="33" spans="2:59" ht="16.5" customHeight="1">
      <c r="B33" s="83">
        <v>28</v>
      </c>
      <c r="C33" s="252"/>
      <c r="D33" s="228" t="s">
        <v>784</v>
      </c>
      <c r="E33" s="228" t="s">
        <v>785</v>
      </c>
      <c r="F33" s="228" t="s">
        <v>6</v>
      </c>
      <c r="G33" s="228" t="s">
        <v>9</v>
      </c>
      <c r="H33" s="228" t="s">
        <v>25</v>
      </c>
      <c r="I33" s="228" t="s">
        <v>30</v>
      </c>
      <c r="J33" s="228" t="s">
        <v>112</v>
      </c>
      <c r="K33" s="229">
        <v>5</v>
      </c>
      <c r="L33" s="228" t="s">
        <v>112</v>
      </c>
      <c r="M33" s="229">
        <v>5</v>
      </c>
      <c r="N33" s="228" t="s">
        <v>112</v>
      </c>
      <c r="O33" s="229">
        <v>5</v>
      </c>
      <c r="P33" s="228" t="s">
        <v>112</v>
      </c>
      <c r="Q33" s="229">
        <v>5</v>
      </c>
      <c r="R33" s="229" t="s">
        <v>112</v>
      </c>
      <c r="S33" s="229">
        <v>5</v>
      </c>
      <c r="T33" s="229" t="s">
        <v>112</v>
      </c>
      <c r="U33" s="229">
        <v>5</v>
      </c>
      <c r="V33" s="229" t="s">
        <v>112</v>
      </c>
      <c r="W33" s="229">
        <v>5</v>
      </c>
      <c r="X33" s="229" t="s">
        <v>112</v>
      </c>
      <c r="Y33" s="229">
        <v>5</v>
      </c>
      <c r="Z33" s="229" t="s">
        <v>112</v>
      </c>
      <c r="AA33" s="229">
        <v>5</v>
      </c>
      <c r="AB33" s="233" t="s">
        <v>786</v>
      </c>
      <c r="AC33" s="79"/>
      <c r="AD33" s="79"/>
      <c r="AE33" s="79"/>
      <c r="AF33" s="79"/>
      <c r="AG33" s="79"/>
      <c r="AH33" s="79"/>
      <c r="AI33" s="80"/>
      <c r="AJ33" s="72"/>
      <c r="AK33" s="72"/>
      <c r="AL33" s="72"/>
      <c r="AM33" s="72"/>
      <c r="AN33" s="74"/>
      <c r="AO33" s="74"/>
      <c r="AP33" s="74"/>
      <c r="AQ33" s="74"/>
      <c r="AR33" s="74"/>
      <c r="AS33" s="74"/>
      <c r="AT33" s="74"/>
      <c r="AU33" s="74"/>
      <c r="AV33" s="74"/>
      <c r="AW33" s="74"/>
      <c r="AX33" s="74"/>
      <c r="AY33" s="74"/>
      <c r="AZ33" s="74"/>
      <c r="BA33" s="74"/>
      <c r="BB33" s="74"/>
      <c r="BC33" s="74"/>
      <c r="BD33" s="74"/>
      <c r="BE33" s="74"/>
      <c r="BF33" s="74"/>
      <c r="BG33" s="74"/>
    </row>
    <row r="34" spans="2:59" ht="16.5" customHeight="1">
      <c r="B34" s="83">
        <v>29</v>
      </c>
      <c r="C34" s="252"/>
      <c r="D34" s="228" t="s">
        <v>787</v>
      </c>
      <c r="E34" s="228" t="s">
        <v>788</v>
      </c>
      <c r="F34" s="228" t="s">
        <v>6</v>
      </c>
      <c r="G34" s="228" t="s">
        <v>9</v>
      </c>
      <c r="H34" s="228" t="s">
        <v>113</v>
      </c>
      <c r="I34" s="228" t="s">
        <v>30</v>
      </c>
      <c r="J34" s="228" t="s">
        <v>112</v>
      </c>
      <c r="K34" s="229">
        <v>5</v>
      </c>
      <c r="L34" s="228" t="s">
        <v>112</v>
      </c>
      <c r="M34" s="229">
        <v>5</v>
      </c>
      <c r="N34" s="228" t="s">
        <v>112</v>
      </c>
      <c r="O34" s="229">
        <v>5</v>
      </c>
      <c r="P34" s="228" t="s">
        <v>36</v>
      </c>
      <c r="Q34" s="229">
        <v>4</v>
      </c>
      <c r="R34" s="229" t="s">
        <v>112</v>
      </c>
      <c r="S34" s="229">
        <v>5</v>
      </c>
      <c r="T34" s="229" t="s">
        <v>112</v>
      </c>
      <c r="U34" s="229">
        <v>5</v>
      </c>
      <c r="V34" s="229" t="s">
        <v>112</v>
      </c>
      <c r="W34" s="229">
        <v>5</v>
      </c>
      <c r="X34" s="229" t="s">
        <v>112</v>
      </c>
      <c r="Y34" s="229">
        <v>5</v>
      </c>
      <c r="Z34" s="229" t="s">
        <v>112</v>
      </c>
      <c r="AA34" s="229">
        <v>5</v>
      </c>
      <c r="AB34" s="233" t="s">
        <v>789</v>
      </c>
      <c r="AC34" s="10"/>
      <c r="AD34" s="10"/>
      <c r="AE34" s="79"/>
      <c r="AF34" s="79"/>
      <c r="AG34" s="79"/>
      <c r="AH34" s="79"/>
      <c r="AI34" s="80"/>
      <c r="AJ34" s="72"/>
      <c r="AK34" s="72"/>
      <c r="AL34" s="72"/>
      <c r="AM34" s="72"/>
      <c r="AN34" s="74"/>
      <c r="AO34" s="74"/>
      <c r="AP34" s="74"/>
      <c r="AQ34" s="74"/>
      <c r="AR34" s="74"/>
      <c r="AS34" s="74"/>
      <c r="AT34" s="74"/>
      <c r="AU34" s="74"/>
      <c r="AV34" s="74"/>
      <c r="AW34" s="74"/>
      <c r="AX34" s="74"/>
      <c r="AY34" s="74"/>
      <c r="AZ34" s="74"/>
      <c r="BA34" s="74"/>
      <c r="BB34" s="74"/>
      <c r="BC34" s="74"/>
      <c r="BD34" s="74"/>
      <c r="BE34" s="74"/>
      <c r="BF34" s="74"/>
      <c r="BG34" s="74"/>
    </row>
    <row r="35" spans="2:59" ht="16.5" customHeight="1">
      <c r="B35" s="83">
        <v>30</v>
      </c>
      <c r="C35" s="252"/>
      <c r="D35" s="228" t="s">
        <v>790</v>
      </c>
      <c r="E35" s="228" t="s">
        <v>791</v>
      </c>
      <c r="F35" s="228" t="s">
        <v>6</v>
      </c>
      <c r="G35" s="228" t="s">
        <v>9</v>
      </c>
      <c r="H35" s="228" t="s">
        <v>24</v>
      </c>
      <c r="I35" s="228" t="s">
        <v>28</v>
      </c>
      <c r="J35" s="228" t="s">
        <v>112</v>
      </c>
      <c r="K35" s="229">
        <v>5</v>
      </c>
      <c r="L35" s="228" t="s">
        <v>112</v>
      </c>
      <c r="M35" s="229">
        <v>5</v>
      </c>
      <c r="N35" s="228" t="s">
        <v>112</v>
      </c>
      <c r="O35" s="229">
        <v>5</v>
      </c>
      <c r="P35" s="228" t="s">
        <v>112</v>
      </c>
      <c r="Q35" s="229">
        <v>5</v>
      </c>
      <c r="R35" s="229" t="s">
        <v>112</v>
      </c>
      <c r="S35" s="229">
        <v>5</v>
      </c>
      <c r="T35" s="229" t="s">
        <v>112</v>
      </c>
      <c r="U35" s="229">
        <v>5</v>
      </c>
      <c r="V35" s="229" t="s">
        <v>112</v>
      </c>
      <c r="W35" s="229">
        <v>5</v>
      </c>
      <c r="X35" s="229" t="s">
        <v>112</v>
      </c>
      <c r="Y35" s="229">
        <v>5</v>
      </c>
      <c r="Z35" s="229" t="s">
        <v>112</v>
      </c>
      <c r="AA35" s="229">
        <v>5</v>
      </c>
      <c r="AB35" s="233" t="s">
        <v>792</v>
      </c>
      <c r="AC35" s="10"/>
      <c r="AD35" s="10"/>
      <c r="AE35" s="79"/>
      <c r="AF35" s="79"/>
      <c r="AG35" s="79"/>
      <c r="AH35" s="79"/>
      <c r="AI35" s="80"/>
      <c r="AJ35" s="72"/>
      <c r="AK35" s="72"/>
      <c r="AL35" s="72"/>
      <c r="AM35" s="72"/>
      <c r="AN35" s="74"/>
      <c r="AO35" s="74"/>
      <c r="AP35" s="74"/>
      <c r="AQ35" s="74"/>
      <c r="AR35" s="74"/>
      <c r="AS35" s="74"/>
      <c r="AT35" s="74"/>
      <c r="AU35" s="74"/>
      <c r="AV35" s="74"/>
      <c r="AW35" s="74"/>
      <c r="AX35" s="74"/>
      <c r="AY35" s="74"/>
      <c r="AZ35" s="74"/>
      <c r="BA35" s="74"/>
      <c r="BB35" s="74"/>
      <c r="BC35" s="74"/>
      <c r="BD35" s="74"/>
      <c r="BE35" s="74"/>
      <c r="BF35" s="74"/>
      <c r="BG35" s="74"/>
    </row>
    <row r="36" spans="2:59" ht="16.5" customHeight="1">
      <c r="B36" s="83">
        <v>31</v>
      </c>
      <c r="C36" s="252"/>
      <c r="D36" s="228" t="s">
        <v>793</v>
      </c>
      <c r="E36" s="228" t="s">
        <v>794</v>
      </c>
      <c r="F36" s="228" t="s">
        <v>6</v>
      </c>
      <c r="G36" s="228" t="s">
        <v>18</v>
      </c>
      <c r="H36" s="228" t="s">
        <v>113</v>
      </c>
      <c r="I36" s="228" t="s">
        <v>30</v>
      </c>
      <c r="J36" s="228" t="s">
        <v>36</v>
      </c>
      <c r="K36" s="229">
        <v>4</v>
      </c>
      <c r="L36" s="228" t="s">
        <v>36</v>
      </c>
      <c r="M36" s="229">
        <v>4</v>
      </c>
      <c r="N36" s="228" t="s">
        <v>36</v>
      </c>
      <c r="O36" s="229">
        <v>4</v>
      </c>
      <c r="P36" s="228" t="s">
        <v>36</v>
      </c>
      <c r="Q36" s="229">
        <v>4</v>
      </c>
      <c r="R36" s="229" t="s">
        <v>35</v>
      </c>
      <c r="S36" s="229">
        <v>3</v>
      </c>
      <c r="T36" s="229" t="s">
        <v>36</v>
      </c>
      <c r="U36" s="229">
        <v>4</v>
      </c>
      <c r="V36" s="229" t="s">
        <v>36</v>
      </c>
      <c r="W36" s="229">
        <v>4</v>
      </c>
      <c r="X36" s="229" t="s">
        <v>36</v>
      </c>
      <c r="Y36" s="229">
        <v>4</v>
      </c>
      <c r="Z36" s="229" t="s">
        <v>112</v>
      </c>
      <c r="AA36" s="229">
        <v>5</v>
      </c>
      <c r="AB36" s="233" t="s">
        <v>795</v>
      </c>
      <c r="AC36" s="10"/>
      <c r="AD36" s="10"/>
      <c r="AE36" s="79"/>
      <c r="AF36" s="79"/>
      <c r="AG36" s="79"/>
      <c r="AH36" s="79"/>
      <c r="AI36" s="80"/>
      <c r="AJ36" s="72"/>
      <c r="AK36" s="72"/>
      <c r="AL36" s="72"/>
      <c r="AM36" s="72"/>
      <c r="AN36" s="74"/>
      <c r="AO36" s="74"/>
      <c r="AP36" s="74"/>
      <c r="AQ36" s="74"/>
      <c r="AR36" s="74"/>
      <c r="AS36" s="74"/>
      <c r="AT36" s="74"/>
      <c r="AU36" s="74"/>
      <c r="AV36" s="74"/>
      <c r="AW36" s="74"/>
      <c r="AX36" s="74"/>
      <c r="AY36" s="74"/>
      <c r="AZ36" s="74"/>
      <c r="BA36" s="74"/>
      <c r="BB36" s="74"/>
      <c r="BC36" s="74"/>
      <c r="BD36" s="74"/>
      <c r="BE36" s="74"/>
      <c r="BF36" s="74"/>
      <c r="BG36" s="74"/>
    </row>
    <row r="37" spans="2:59" ht="16.5" customHeight="1">
      <c r="B37" s="83">
        <v>32</v>
      </c>
      <c r="C37" s="252"/>
      <c r="D37" s="228" t="s">
        <v>796</v>
      </c>
      <c r="E37" s="228" t="s">
        <v>797</v>
      </c>
      <c r="F37" s="228" t="s">
        <v>5</v>
      </c>
      <c r="G37" s="228" t="s">
        <v>9</v>
      </c>
      <c r="H37" s="228" t="s">
        <v>113</v>
      </c>
      <c r="I37" s="228" t="s">
        <v>32</v>
      </c>
      <c r="J37" s="228" t="s">
        <v>112</v>
      </c>
      <c r="K37" s="229">
        <v>5</v>
      </c>
      <c r="L37" s="228" t="s">
        <v>112</v>
      </c>
      <c r="M37" s="229">
        <v>5</v>
      </c>
      <c r="N37" s="228" t="s">
        <v>112</v>
      </c>
      <c r="O37" s="229">
        <v>5</v>
      </c>
      <c r="P37" s="228" t="s">
        <v>112</v>
      </c>
      <c r="Q37" s="229">
        <v>5</v>
      </c>
      <c r="R37" s="229" t="s">
        <v>112</v>
      </c>
      <c r="S37" s="229">
        <v>5</v>
      </c>
      <c r="T37" s="229" t="s">
        <v>36</v>
      </c>
      <c r="U37" s="229">
        <v>4</v>
      </c>
      <c r="V37" s="229" t="s">
        <v>36</v>
      </c>
      <c r="W37" s="229">
        <v>4</v>
      </c>
      <c r="X37" s="229" t="s">
        <v>36</v>
      </c>
      <c r="Y37" s="229">
        <v>4</v>
      </c>
      <c r="Z37" s="229" t="s">
        <v>36</v>
      </c>
      <c r="AA37" s="229">
        <v>4</v>
      </c>
      <c r="AB37" s="233" t="s">
        <v>798</v>
      </c>
      <c r="AC37" s="10"/>
      <c r="AD37" s="79"/>
      <c r="AE37" s="79"/>
      <c r="AF37" s="79"/>
      <c r="AG37" s="79"/>
      <c r="AH37" s="79"/>
      <c r="AI37" s="80"/>
      <c r="AJ37" s="72"/>
      <c r="AK37" s="72"/>
      <c r="AL37" s="72"/>
      <c r="AM37" s="72"/>
      <c r="AN37" s="74"/>
      <c r="AO37" s="74"/>
      <c r="AP37" s="74"/>
      <c r="AQ37" s="74"/>
      <c r="AR37" s="74"/>
      <c r="AS37" s="74"/>
      <c r="AT37" s="74"/>
      <c r="AU37" s="74"/>
      <c r="AV37" s="74"/>
      <c r="AW37" s="74"/>
      <c r="AX37" s="74"/>
      <c r="AY37" s="74"/>
      <c r="AZ37" s="74"/>
      <c r="BA37" s="74"/>
      <c r="BB37" s="74"/>
      <c r="BC37" s="74"/>
      <c r="BD37" s="74"/>
      <c r="BE37" s="74"/>
      <c r="BF37" s="74"/>
      <c r="BG37" s="74"/>
    </row>
    <row r="38" spans="2:59" ht="16.5" customHeight="1">
      <c r="B38" s="83">
        <v>33</v>
      </c>
      <c r="C38" s="252"/>
      <c r="D38" s="228" t="s">
        <v>799</v>
      </c>
      <c r="E38" s="228" t="s">
        <v>800</v>
      </c>
      <c r="F38" s="228" t="s">
        <v>6</v>
      </c>
      <c r="G38" s="228" t="s">
        <v>9</v>
      </c>
      <c r="H38" s="228" t="s">
        <v>113</v>
      </c>
      <c r="I38" s="228" t="s">
        <v>30</v>
      </c>
      <c r="J38" s="228" t="s">
        <v>112</v>
      </c>
      <c r="K38" s="229">
        <v>5</v>
      </c>
      <c r="L38" s="228" t="s">
        <v>112</v>
      </c>
      <c r="M38" s="229">
        <v>5</v>
      </c>
      <c r="N38" s="228" t="s">
        <v>112</v>
      </c>
      <c r="O38" s="229">
        <v>5</v>
      </c>
      <c r="P38" s="228" t="s">
        <v>112</v>
      </c>
      <c r="Q38" s="229">
        <v>5</v>
      </c>
      <c r="R38" s="229" t="s">
        <v>112</v>
      </c>
      <c r="S38" s="229">
        <v>5</v>
      </c>
      <c r="T38" s="229" t="s">
        <v>112</v>
      </c>
      <c r="U38" s="229">
        <v>5</v>
      </c>
      <c r="V38" s="229" t="s">
        <v>112</v>
      </c>
      <c r="W38" s="229">
        <v>5</v>
      </c>
      <c r="X38" s="229" t="s">
        <v>112</v>
      </c>
      <c r="Y38" s="229">
        <v>5</v>
      </c>
      <c r="Z38" s="229" t="s">
        <v>112</v>
      </c>
      <c r="AA38" s="229">
        <v>5</v>
      </c>
      <c r="AB38" s="233"/>
      <c r="AC38" s="10"/>
      <c r="AD38" s="79"/>
      <c r="AE38" s="79"/>
      <c r="AF38" s="79"/>
      <c r="AG38" s="79"/>
      <c r="AH38" s="79"/>
      <c r="AI38" s="80"/>
      <c r="AJ38" s="72"/>
      <c r="AK38" s="72"/>
      <c r="AL38" s="72"/>
      <c r="AM38" s="72"/>
      <c r="AN38" s="74"/>
      <c r="AO38" s="74"/>
      <c r="AP38" s="74"/>
      <c r="AQ38" s="74"/>
      <c r="AR38" s="74"/>
      <c r="AS38" s="74"/>
      <c r="AT38" s="74"/>
      <c r="AU38" s="74"/>
      <c r="AV38" s="74"/>
      <c r="AW38" s="74"/>
      <c r="AX38" s="74"/>
      <c r="AY38" s="74"/>
      <c r="AZ38" s="74"/>
      <c r="BA38" s="74"/>
      <c r="BB38" s="74"/>
      <c r="BC38" s="74"/>
      <c r="BD38" s="74"/>
      <c r="BE38" s="74"/>
      <c r="BF38" s="74"/>
      <c r="BG38" s="74"/>
    </row>
    <row r="39" spans="2:59" ht="16.5" customHeight="1">
      <c r="B39" s="83">
        <v>34</v>
      </c>
      <c r="C39" s="252"/>
      <c r="D39" s="228" t="s">
        <v>801</v>
      </c>
      <c r="E39" s="228" t="s">
        <v>802</v>
      </c>
      <c r="F39" s="228" t="s">
        <v>6</v>
      </c>
      <c r="G39" s="228" t="s">
        <v>9</v>
      </c>
      <c r="H39" s="228" t="s">
        <v>113</v>
      </c>
      <c r="I39" s="228" t="s">
        <v>30</v>
      </c>
      <c r="J39" s="228" t="s">
        <v>36</v>
      </c>
      <c r="K39" s="229">
        <v>4</v>
      </c>
      <c r="L39" s="228" t="s">
        <v>36</v>
      </c>
      <c r="M39" s="229">
        <v>4</v>
      </c>
      <c r="N39" s="228" t="s">
        <v>36</v>
      </c>
      <c r="O39" s="229">
        <v>4</v>
      </c>
      <c r="P39" s="228" t="s">
        <v>112</v>
      </c>
      <c r="Q39" s="229">
        <v>5</v>
      </c>
      <c r="R39" s="229" t="s">
        <v>36</v>
      </c>
      <c r="S39" s="229">
        <v>4</v>
      </c>
      <c r="T39" s="229" t="s">
        <v>36</v>
      </c>
      <c r="U39" s="229">
        <v>4</v>
      </c>
      <c r="V39" s="229" t="s">
        <v>36</v>
      </c>
      <c r="W39" s="229">
        <v>4</v>
      </c>
      <c r="X39" s="229" t="s">
        <v>36</v>
      </c>
      <c r="Y39" s="229">
        <v>4</v>
      </c>
      <c r="Z39" s="229" t="s">
        <v>36</v>
      </c>
      <c r="AA39" s="229">
        <v>4</v>
      </c>
      <c r="AB39" s="233"/>
      <c r="AC39" s="10"/>
      <c r="AD39" s="79"/>
      <c r="AE39" s="79"/>
      <c r="AF39" s="79"/>
      <c r="AG39" s="79"/>
      <c r="AH39" s="79"/>
      <c r="AI39" s="80"/>
      <c r="AJ39" s="72"/>
      <c r="AK39" s="72"/>
      <c r="AL39" s="72"/>
      <c r="AM39" s="72"/>
      <c r="AN39" s="74"/>
      <c r="AO39" s="74"/>
      <c r="AP39" s="74"/>
      <c r="AQ39" s="74"/>
      <c r="AR39" s="74"/>
      <c r="AS39" s="74"/>
      <c r="AT39" s="74"/>
      <c r="AU39" s="74"/>
      <c r="AV39" s="74"/>
      <c r="AW39" s="74"/>
      <c r="AX39" s="74"/>
      <c r="AY39" s="74"/>
      <c r="AZ39" s="74"/>
      <c r="BA39" s="74"/>
      <c r="BB39" s="74"/>
      <c r="BC39" s="74"/>
      <c r="BD39" s="74"/>
      <c r="BE39" s="74"/>
      <c r="BF39" s="74"/>
      <c r="BG39" s="74"/>
    </row>
    <row r="40" spans="2:59" ht="16.5" customHeight="1">
      <c r="B40" s="83">
        <v>35</v>
      </c>
      <c r="C40" s="252"/>
      <c r="D40" s="228" t="s">
        <v>803</v>
      </c>
      <c r="E40" s="228" t="s">
        <v>804</v>
      </c>
      <c r="F40" s="228" t="s">
        <v>6</v>
      </c>
      <c r="G40" s="228" t="s">
        <v>9</v>
      </c>
      <c r="H40" s="228" t="s">
        <v>24</v>
      </c>
      <c r="I40" s="228" t="s">
        <v>30</v>
      </c>
      <c r="J40" s="228" t="s">
        <v>112</v>
      </c>
      <c r="K40" s="229">
        <v>5</v>
      </c>
      <c r="L40" s="228" t="s">
        <v>112</v>
      </c>
      <c r="M40" s="229">
        <v>5</v>
      </c>
      <c r="N40" s="228" t="s">
        <v>112</v>
      </c>
      <c r="O40" s="229">
        <v>5</v>
      </c>
      <c r="P40" s="228" t="s">
        <v>112</v>
      </c>
      <c r="Q40" s="229">
        <v>5</v>
      </c>
      <c r="R40" s="229" t="s">
        <v>112</v>
      </c>
      <c r="S40" s="229">
        <v>5</v>
      </c>
      <c r="T40" s="229" t="s">
        <v>112</v>
      </c>
      <c r="U40" s="229">
        <v>5</v>
      </c>
      <c r="V40" s="229" t="s">
        <v>112</v>
      </c>
      <c r="W40" s="229">
        <v>5</v>
      </c>
      <c r="X40" s="229" t="s">
        <v>112</v>
      </c>
      <c r="Y40" s="229">
        <v>5</v>
      </c>
      <c r="Z40" s="229" t="s">
        <v>112</v>
      </c>
      <c r="AA40" s="229">
        <v>5</v>
      </c>
      <c r="AB40" s="233" t="s">
        <v>805</v>
      </c>
      <c r="AC40" s="10"/>
      <c r="AD40" s="79"/>
      <c r="AE40" s="79"/>
      <c r="AF40" s="79"/>
      <c r="AG40" s="79"/>
      <c r="AH40" s="79"/>
      <c r="AI40" s="80"/>
      <c r="AJ40" s="72"/>
      <c r="AK40" s="72"/>
      <c r="AL40" s="72"/>
      <c r="AM40" s="72"/>
      <c r="AN40" s="74"/>
      <c r="AO40" s="74"/>
      <c r="AP40" s="74"/>
      <c r="AQ40" s="74"/>
      <c r="AR40" s="74"/>
      <c r="AS40" s="74"/>
      <c r="AT40" s="74"/>
      <c r="AU40" s="74"/>
      <c r="AV40" s="74"/>
      <c r="AW40" s="74"/>
      <c r="AX40" s="74"/>
      <c r="AY40" s="74"/>
      <c r="AZ40" s="74"/>
      <c r="BA40" s="74"/>
      <c r="BB40" s="74"/>
      <c r="BC40" s="74"/>
      <c r="BD40" s="74"/>
      <c r="BE40" s="74"/>
      <c r="BF40" s="74"/>
      <c r="BG40" s="74"/>
    </row>
    <row r="41" spans="2:59">
      <c r="B41" s="83">
        <v>36</v>
      </c>
      <c r="C41" s="252"/>
      <c r="D41" s="228" t="s">
        <v>806</v>
      </c>
      <c r="E41" s="228" t="s">
        <v>807</v>
      </c>
      <c r="F41" s="228" t="s">
        <v>5</v>
      </c>
      <c r="G41" s="228" t="s">
        <v>19</v>
      </c>
      <c r="H41" s="228" t="s">
        <v>113</v>
      </c>
      <c r="I41" s="228" t="s">
        <v>32</v>
      </c>
      <c r="J41" s="228" t="s">
        <v>112</v>
      </c>
      <c r="K41" s="229">
        <v>5</v>
      </c>
      <c r="L41" s="228" t="s">
        <v>112</v>
      </c>
      <c r="M41" s="229">
        <v>5</v>
      </c>
      <c r="N41" s="228" t="s">
        <v>112</v>
      </c>
      <c r="O41" s="229">
        <v>5</v>
      </c>
      <c r="P41" s="228" t="s">
        <v>112</v>
      </c>
      <c r="Q41" s="229">
        <v>5</v>
      </c>
      <c r="R41" s="229" t="s">
        <v>112</v>
      </c>
      <c r="S41" s="229">
        <v>5</v>
      </c>
      <c r="T41" s="229" t="s">
        <v>112</v>
      </c>
      <c r="U41" s="229">
        <v>5</v>
      </c>
      <c r="V41" s="229" t="s">
        <v>36</v>
      </c>
      <c r="W41" s="229">
        <v>4</v>
      </c>
      <c r="X41" s="229" t="s">
        <v>36</v>
      </c>
      <c r="Y41" s="229">
        <v>4</v>
      </c>
      <c r="Z41" s="229" t="s">
        <v>36</v>
      </c>
      <c r="AA41" s="229">
        <v>4</v>
      </c>
      <c r="AB41" s="233" t="s">
        <v>808</v>
      </c>
      <c r="AC41" s="10"/>
      <c r="AD41" s="79"/>
      <c r="AE41" s="79"/>
      <c r="AF41" s="79"/>
      <c r="AG41" s="79"/>
      <c r="AH41" s="79"/>
      <c r="AI41" s="80"/>
      <c r="AJ41" s="72"/>
      <c r="AK41" s="72"/>
      <c r="AL41" s="72"/>
      <c r="AM41" s="72"/>
      <c r="AN41" s="74"/>
      <c r="AO41" s="74"/>
      <c r="AP41" s="74"/>
      <c r="AQ41" s="74"/>
      <c r="AR41" s="74"/>
      <c r="AS41" s="74"/>
      <c r="AT41" s="74"/>
      <c r="AU41" s="74"/>
      <c r="AV41" s="74"/>
      <c r="AW41" s="74"/>
      <c r="AX41" s="74"/>
      <c r="AY41" s="74"/>
      <c r="AZ41" s="74"/>
      <c r="BA41" s="74"/>
      <c r="BB41" s="74"/>
      <c r="BC41" s="74"/>
      <c r="BD41" s="74"/>
      <c r="BE41" s="74"/>
      <c r="BF41" s="74"/>
      <c r="BG41" s="74"/>
    </row>
    <row r="42" spans="2:59">
      <c r="B42" s="83">
        <v>37</v>
      </c>
      <c r="C42" s="252"/>
      <c r="D42" s="228" t="s">
        <v>809</v>
      </c>
      <c r="E42" s="228" t="s">
        <v>810</v>
      </c>
      <c r="F42" s="228" t="s">
        <v>5</v>
      </c>
      <c r="G42" s="228" t="s">
        <v>9</v>
      </c>
      <c r="H42" s="228" t="s">
        <v>113</v>
      </c>
      <c r="I42" s="228" t="s">
        <v>32</v>
      </c>
      <c r="J42" s="228" t="s">
        <v>112</v>
      </c>
      <c r="K42" s="229">
        <v>5</v>
      </c>
      <c r="L42" s="228" t="s">
        <v>36</v>
      </c>
      <c r="M42" s="229">
        <v>4</v>
      </c>
      <c r="N42" s="228" t="s">
        <v>112</v>
      </c>
      <c r="O42" s="229">
        <v>5</v>
      </c>
      <c r="P42" s="228" t="s">
        <v>112</v>
      </c>
      <c r="Q42" s="229">
        <v>5</v>
      </c>
      <c r="R42" s="229" t="s">
        <v>36</v>
      </c>
      <c r="S42" s="229">
        <v>4</v>
      </c>
      <c r="T42" s="229" t="s">
        <v>112</v>
      </c>
      <c r="U42" s="229">
        <v>5</v>
      </c>
      <c r="V42" s="229" t="s">
        <v>36</v>
      </c>
      <c r="W42" s="229">
        <v>4</v>
      </c>
      <c r="X42" s="229" t="s">
        <v>36</v>
      </c>
      <c r="Y42" s="229">
        <v>4</v>
      </c>
      <c r="Z42" s="229" t="s">
        <v>112</v>
      </c>
      <c r="AA42" s="229">
        <v>5</v>
      </c>
      <c r="AB42" s="233" t="s">
        <v>811</v>
      </c>
      <c r="AC42" s="10"/>
      <c r="AD42" s="79"/>
      <c r="AE42" s="79"/>
      <c r="AF42" s="79"/>
      <c r="AG42" s="79"/>
      <c r="AH42" s="79"/>
      <c r="AI42" s="80"/>
      <c r="AJ42" s="72"/>
      <c r="AK42" s="72"/>
      <c r="AL42" s="72"/>
      <c r="AM42" s="72"/>
      <c r="AN42" s="74"/>
      <c r="AO42" s="74"/>
      <c r="AP42" s="74"/>
      <c r="AQ42" s="74"/>
      <c r="AR42" s="74"/>
      <c r="AS42" s="74"/>
      <c r="AT42" s="74"/>
      <c r="AU42" s="74"/>
      <c r="AV42" s="74"/>
      <c r="AW42" s="74"/>
      <c r="AX42" s="74"/>
      <c r="AY42" s="74"/>
      <c r="AZ42" s="74"/>
      <c r="BA42" s="74"/>
      <c r="BB42" s="74"/>
      <c r="BC42" s="74"/>
      <c r="BD42" s="74"/>
      <c r="BE42" s="74"/>
      <c r="BF42" s="74"/>
      <c r="BG42" s="74"/>
    </row>
    <row r="43" spans="2:59">
      <c r="B43" s="83">
        <v>38</v>
      </c>
      <c r="C43" s="252"/>
      <c r="D43" s="228" t="s">
        <v>812</v>
      </c>
      <c r="E43" s="228" t="s">
        <v>813</v>
      </c>
      <c r="F43" s="228" t="s">
        <v>6</v>
      </c>
      <c r="G43" s="228" t="s">
        <v>9</v>
      </c>
      <c r="H43" s="228" t="s">
        <v>24</v>
      </c>
      <c r="I43" s="228" t="s">
        <v>30</v>
      </c>
      <c r="J43" s="228" t="s">
        <v>112</v>
      </c>
      <c r="K43" s="229">
        <v>5</v>
      </c>
      <c r="L43" s="228" t="s">
        <v>112</v>
      </c>
      <c r="M43" s="229">
        <v>5</v>
      </c>
      <c r="N43" s="228" t="s">
        <v>112</v>
      </c>
      <c r="O43" s="229">
        <v>5</v>
      </c>
      <c r="P43" s="228" t="s">
        <v>112</v>
      </c>
      <c r="Q43" s="229">
        <v>5</v>
      </c>
      <c r="R43" s="229" t="s">
        <v>112</v>
      </c>
      <c r="S43" s="229">
        <v>5</v>
      </c>
      <c r="T43" s="229" t="s">
        <v>112</v>
      </c>
      <c r="U43" s="229">
        <v>5</v>
      </c>
      <c r="V43" s="229" t="s">
        <v>112</v>
      </c>
      <c r="W43" s="229">
        <v>5</v>
      </c>
      <c r="X43" s="229" t="s">
        <v>112</v>
      </c>
      <c r="Y43" s="229">
        <v>5</v>
      </c>
      <c r="Z43" s="229" t="s">
        <v>112</v>
      </c>
      <c r="AA43" s="229">
        <v>5</v>
      </c>
      <c r="AB43" s="233" t="s">
        <v>814</v>
      </c>
      <c r="AC43" s="10"/>
      <c r="AD43" s="79"/>
      <c r="AE43" s="79"/>
      <c r="AF43" s="79"/>
      <c r="AG43" s="79"/>
      <c r="AH43" s="79"/>
      <c r="AI43" s="80"/>
      <c r="AJ43" s="72"/>
      <c r="AK43" s="72"/>
      <c r="AL43" s="72"/>
      <c r="AM43" s="72"/>
      <c r="AN43" s="74"/>
      <c r="AO43" s="74"/>
      <c r="AP43" s="74"/>
      <c r="AQ43" s="74"/>
      <c r="AR43" s="74"/>
      <c r="AS43" s="74"/>
      <c r="AT43" s="74"/>
      <c r="AU43" s="74"/>
      <c r="AV43" s="74"/>
      <c r="AW43" s="74"/>
      <c r="AX43" s="74"/>
      <c r="AY43" s="74"/>
      <c r="AZ43" s="74"/>
      <c r="BA43" s="74"/>
      <c r="BB43" s="74"/>
      <c r="BC43" s="74"/>
      <c r="BD43" s="74"/>
      <c r="BE43" s="74"/>
      <c r="BF43" s="74"/>
      <c r="BG43" s="74"/>
    </row>
    <row r="44" spans="2:59">
      <c r="B44" s="83">
        <v>39</v>
      </c>
      <c r="C44" s="252" t="s">
        <v>137</v>
      </c>
      <c r="D44" s="228" t="s">
        <v>815</v>
      </c>
      <c r="E44" s="228" t="s">
        <v>816</v>
      </c>
      <c r="F44" s="228" t="s">
        <v>6</v>
      </c>
      <c r="G44" s="228" t="s">
        <v>9</v>
      </c>
      <c r="H44" s="228" t="s">
        <v>113</v>
      </c>
      <c r="I44" s="228" t="s">
        <v>30</v>
      </c>
      <c r="J44" s="228" t="s">
        <v>112</v>
      </c>
      <c r="K44" s="229">
        <v>5</v>
      </c>
      <c r="L44" s="228" t="s">
        <v>112</v>
      </c>
      <c r="M44" s="229">
        <v>5</v>
      </c>
      <c r="N44" s="228" t="s">
        <v>112</v>
      </c>
      <c r="O44" s="229">
        <v>5</v>
      </c>
      <c r="P44" s="228" t="s">
        <v>112</v>
      </c>
      <c r="Q44" s="229">
        <v>5</v>
      </c>
      <c r="R44" s="229" t="s">
        <v>112</v>
      </c>
      <c r="S44" s="229">
        <v>5</v>
      </c>
      <c r="T44" s="229" t="s">
        <v>112</v>
      </c>
      <c r="U44" s="229">
        <v>5</v>
      </c>
      <c r="V44" s="229" t="s">
        <v>112</v>
      </c>
      <c r="W44" s="229">
        <v>5</v>
      </c>
      <c r="X44" s="229" t="s">
        <v>112</v>
      </c>
      <c r="Y44" s="229">
        <v>5</v>
      </c>
      <c r="Z44" s="229" t="s">
        <v>112</v>
      </c>
      <c r="AA44" s="229">
        <v>5</v>
      </c>
      <c r="AB44" s="233" t="s">
        <v>817</v>
      </c>
      <c r="AC44" s="10"/>
      <c r="AD44" s="79"/>
      <c r="AE44" s="79"/>
      <c r="AF44" s="79"/>
      <c r="AG44" s="79"/>
      <c r="AH44" s="79"/>
      <c r="AI44" s="80"/>
      <c r="AJ44" s="72"/>
      <c r="AK44" s="72"/>
      <c r="AL44" s="72"/>
      <c r="AM44" s="72"/>
      <c r="AN44" s="74"/>
      <c r="AO44" s="74"/>
      <c r="AP44" s="74"/>
      <c r="AQ44" s="74"/>
      <c r="AR44" s="74"/>
      <c r="AS44" s="74"/>
      <c r="AT44" s="74"/>
      <c r="AU44" s="74"/>
      <c r="AV44" s="74"/>
      <c r="AW44" s="74"/>
      <c r="AX44" s="74"/>
      <c r="AY44" s="74"/>
      <c r="AZ44" s="74"/>
      <c r="BA44" s="74"/>
      <c r="BB44" s="74"/>
      <c r="BC44" s="74"/>
      <c r="BD44" s="74"/>
      <c r="BE44" s="74"/>
      <c r="BF44" s="74"/>
      <c r="BG44" s="74"/>
    </row>
    <row r="45" spans="2:59">
      <c r="B45" s="83">
        <v>40</v>
      </c>
      <c r="C45" s="252"/>
      <c r="D45" s="228" t="s">
        <v>818</v>
      </c>
      <c r="E45" s="228" t="s">
        <v>819</v>
      </c>
      <c r="F45" s="228" t="s">
        <v>6</v>
      </c>
      <c r="G45" s="228" t="s">
        <v>9</v>
      </c>
      <c r="H45" s="228" t="s">
        <v>113</v>
      </c>
      <c r="I45" s="228" t="s">
        <v>30</v>
      </c>
      <c r="J45" s="228" t="s">
        <v>112</v>
      </c>
      <c r="K45" s="229">
        <v>5</v>
      </c>
      <c r="L45" s="228" t="s">
        <v>112</v>
      </c>
      <c r="M45" s="229">
        <v>5</v>
      </c>
      <c r="N45" s="228" t="s">
        <v>112</v>
      </c>
      <c r="O45" s="229">
        <v>5</v>
      </c>
      <c r="P45" s="228" t="s">
        <v>112</v>
      </c>
      <c r="Q45" s="229">
        <v>5</v>
      </c>
      <c r="R45" s="229" t="s">
        <v>112</v>
      </c>
      <c r="S45" s="229">
        <v>5</v>
      </c>
      <c r="T45" s="229" t="s">
        <v>112</v>
      </c>
      <c r="U45" s="229">
        <v>5</v>
      </c>
      <c r="V45" s="229" t="s">
        <v>112</v>
      </c>
      <c r="W45" s="229">
        <v>5</v>
      </c>
      <c r="X45" s="229" t="s">
        <v>112</v>
      </c>
      <c r="Y45" s="229">
        <v>5</v>
      </c>
      <c r="Z45" s="229" t="s">
        <v>112</v>
      </c>
      <c r="AA45" s="229">
        <v>5</v>
      </c>
      <c r="AB45" s="233"/>
      <c r="AC45" s="10"/>
      <c r="AD45" s="79"/>
      <c r="AE45" s="79"/>
      <c r="AF45" s="79"/>
      <c r="AG45" s="79"/>
      <c r="AH45" s="79"/>
      <c r="AI45" s="80"/>
      <c r="AJ45" s="72"/>
      <c r="AK45" s="72"/>
      <c r="AL45" s="72"/>
      <c r="AM45" s="72"/>
      <c r="AN45" s="74"/>
      <c r="AO45" s="74"/>
      <c r="AP45" s="74"/>
      <c r="AQ45" s="74"/>
      <c r="AR45" s="74"/>
      <c r="AS45" s="74"/>
      <c r="AT45" s="74"/>
      <c r="AU45" s="74"/>
      <c r="AV45" s="74"/>
      <c r="AW45" s="74"/>
      <c r="AX45" s="74"/>
      <c r="AY45" s="74"/>
      <c r="AZ45" s="74"/>
      <c r="BA45" s="74"/>
      <c r="BB45" s="74"/>
      <c r="BC45" s="74"/>
      <c r="BD45" s="74"/>
      <c r="BE45" s="74"/>
      <c r="BF45" s="74"/>
      <c r="BG45" s="74"/>
    </row>
    <row r="46" spans="2:59">
      <c r="B46" s="83">
        <v>41</v>
      </c>
      <c r="C46" s="252"/>
      <c r="D46" s="228" t="s">
        <v>820</v>
      </c>
      <c r="E46" s="228" t="s">
        <v>821</v>
      </c>
      <c r="F46" s="228" t="s">
        <v>6</v>
      </c>
      <c r="G46" s="228" t="s">
        <v>7</v>
      </c>
      <c r="H46" s="228" t="s">
        <v>26</v>
      </c>
      <c r="I46" s="228" t="s">
        <v>30</v>
      </c>
      <c r="J46" s="228" t="s">
        <v>36</v>
      </c>
      <c r="K46" s="229">
        <v>4</v>
      </c>
      <c r="L46" s="228" t="s">
        <v>36</v>
      </c>
      <c r="M46" s="229">
        <v>4</v>
      </c>
      <c r="N46" s="228" t="s">
        <v>36</v>
      </c>
      <c r="O46" s="229">
        <v>4</v>
      </c>
      <c r="P46" s="228" t="s">
        <v>36</v>
      </c>
      <c r="Q46" s="229">
        <v>4</v>
      </c>
      <c r="R46" s="229" t="s">
        <v>36</v>
      </c>
      <c r="S46" s="229">
        <v>4</v>
      </c>
      <c r="T46" s="229" t="s">
        <v>36</v>
      </c>
      <c r="U46" s="229">
        <v>4</v>
      </c>
      <c r="V46" s="229" t="s">
        <v>36</v>
      </c>
      <c r="W46" s="229">
        <v>4</v>
      </c>
      <c r="X46" s="229" t="s">
        <v>36</v>
      </c>
      <c r="Y46" s="229">
        <v>4</v>
      </c>
      <c r="Z46" s="229" t="s">
        <v>36</v>
      </c>
      <c r="AA46" s="229">
        <v>4</v>
      </c>
      <c r="AB46" s="233" t="s">
        <v>822</v>
      </c>
      <c r="AC46" s="10"/>
      <c r="AD46" s="79"/>
      <c r="AE46" s="79"/>
      <c r="AF46" s="79"/>
      <c r="AG46" s="79"/>
      <c r="AH46" s="79"/>
      <c r="AI46" s="80"/>
      <c r="AJ46" s="72"/>
      <c r="AK46" s="72"/>
      <c r="AL46" s="72"/>
      <c r="AM46" s="72"/>
      <c r="AN46" s="74"/>
      <c r="AO46" s="74"/>
      <c r="AP46" s="74"/>
      <c r="AQ46" s="74"/>
      <c r="AR46" s="74"/>
      <c r="AS46" s="74"/>
      <c r="AT46" s="74"/>
      <c r="AU46" s="74"/>
      <c r="AV46" s="74"/>
      <c r="AW46" s="74"/>
      <c r="AX46" s="74"/>
      <c r="AY46" s="74"/>
      <c r="AZ46" s="74"/>
      <c r="BA46" s="74"/>
      <c r="BB46" s="74"/>
      <c r="BC46" s="74"/>
      <c r="BD46" s="74"/>
      <c r="BE46" s="74"/>
      <c r="BF46" s="74"/>
      <c r="BG46" s="74"/>
    </row>
    <row r="47" spans="2:59">
      <c r="B47" s="83">
        <v>42</v>
      </c>
      <c r="C47" s="252"/>
      <c r="D47" s="228" t="s">
        <v>823</v>
      </c>
      <c r="E47" s="228" t="s">
        <v>824</v>
      </c>
      <c r="F47" s="228" t="s">
        <v>6</v>
      </c>
      <c r="G47" s="228" t="s">
        <v>9</v>
      </c>
      <c r="H47" s="228" t="s">
        <v>113</v>
      </c>
      <c r="I47" s="228" t="s">
        <v>30</v>
      </c>
      <c r="J47" s="228" t="s">
        <v>112</v>
      </c>
      <c r="K47" s="229">
        <v>5</v>
      </c>
      <c r="L47" s="228" t="s">
        <v>112</v>
      </c>
      <c r="M47" s="229">
        <v>5</v>
      </c>
      <c r="N47" s="228" t="s">
        <v>112</v>
      </c>
      <c r="O47" s="229">
        <v>5</v>
      </c>
      <c r="P47" s="228" t="s">
        <v>112</v>
      </c>
      <c r="Q47" s="229">
        <v>5</v>
      </c>
      <c r="R47" s="229" t="s">
        <v>112</v>
      </c>
      <c r="S47" s="229">
        <v>5</v>
      </c>
      <c r="T47" s="229" t="s">
        <v>112</v>
      </c>
      <c r="U47" s="229">
        <v>5</v>
      </c>
      <c r="V47" s="229" t="s">
        <v>112</v>
      </c>
      <c r="W47" s="229">
        <v>5</v>
      </c>
      <c r="X47" s="229" t="s">
        <v>112</v>
      </c>
      <c r="Y47" s="229">
        <v>5</v>
      </c>
      <c r="Z47" s="229" t="s">
        <v>112</v>
      </c>
      <c r="AA47" s="229">
        <v>5</v>
      </c>
      <c r="AB47" s="233"/>
      <c r="AC47" s="10"/>
      <c r="AD47" s="79"/>
      <c r="AE47" s="79"/>
      <c r="AF47" s="79"/>
      <c r="AG47" s="79"/>
      <c r="AH47" s="79"/>
      <c r="AI47" s="80"/>
      <c r="AJ47" s="72"/>
      <c r="AK47" s="72"/>
      <c r="AL47" s="72"/>
      <c r="AM47" s="72"/>
      <c r="AN47" s="74"/>
      <c r="AO47" s="74"/>
      <c r="AP47" s="74"/>
      <c r="AQ47" s="74"/>
      <c r="AR47" s="74"/>
      <c r="AS47" s="74"/>
      <c r="AT47" s="74"/>
      <c r="AU47" s="74"/>
      <c r="AV47" s="74"/>
      <c r="AW47" s="74"/>
      <c r="AX47" s="74"/>
      <c r="AY47" s="74"/>
      <c r="AZ47" s="74"/>
      <c r="BA47" s="74"/>
      <c r="BB47" s="74"/>
      <c r="BC47" s="74"/>
      <c r="BD47" s="74"/>
      <c r="BE47" s="74"/>
      <c r="BF47" s="74"/>
      <c r="BG47" s="74"/>
    </row>
    <row r="48" spans="2:59">
      <c r="B48" s="83">
        <v>43</v>
      </c>
      <c r="C48" s="252"/>
      <c r="D48" s="228" t="s">
        <v>825</v>
      </c>
      <c r="E48" s="228" t="s">
        <v>826</v>
      </c>
      <c r="F48" s="228" t="s">
        <v>6</v>
      </c>
      <c r="G48" s="228" t="s">
        <v>9</v>
      </c>
      <c r="H48" s="228" t="s">
        <v>113</v>
      </c>
      <c r="I48" s="228" t="s">
        <v>30</v>
      </c>
      <c r="J48" s="228" t="s">
        <v>112</v>
      </c>
      <c r="K48" s="229">
        <v>5</v>
      </c>
      <c r="L48" s="228" t="s">
        <v>112</v>
      </c>
      <c r="M48" s="229">
        <v>5</v>
      </c>
      <c r="N48" s="228" t="s">
        <v>112</v>
      </c>
      <c r="O48" s="229">
        <v>5</v>
      </c>
      <c r="P48" s="228" t="s">
        <v>112</v>
      </c>
      <c r="Q48" s="229">
        <v>5</v>
      </c>
      <c r="R48" s="229" t="s">
        <v>112</v>
      </c>
      <c r="S48" s="229">
        <v>5</v>
      </c>
      <c r="T48" s="229" t="s">
        <v>112</v>
      </c>
      <c r="U48" s="229">
        <v>5</v>
      </c>
      <c r="V48" s="229" t="s">
        <v>112</v>
      </c>
      <c r="W48" s="229">
        <v>5</v>
      </c>
      <c r="X48" s="229" t="s">
        <v>112</v>
      </c>
      <c r="Y48" s="229">
        <v>5</v>
      </c>
      <c r="Z48" s="229" t="s">
        <v>112</v>
      </c>
      <c r="AA48" s="229">
        <v>5</v>
      </c>
      <c r="AB48" s="233"/>
      <c r="AC48" s="10"/>
      <c r="AD48" s="79"/>
      <c r="AE48" s="79"/>
      <c r="AF48" s="79"/>
      <c r="AG48" s="79"/>
      <c r="AH48" s="79"/>
      <c r="AI48" s="80"/>
      <c r="AJ48" s="72"/>
      <c r="AK48" s="72"/>
      <c r="AL48" s="72"/>
      <c r="AM48" s="72"/>
      <c r="AN48" s="74"/>
      <c r="AO48" s="74"/>
      <c r="AP48" s="74"/>
      <c r="AQ48" s="74"/>
      <c r="AR48" s="74"/>
      <c r="AS48" s="74"/>
      <c r="AT48" s="74"/>
      <c r="AU48" s="74"/>
      <c r="AV48" s="74"/>
      <c r="AW48" s="74"/>
      <c r="AX48" s="74"/>
      <c r="AY48" s="74"/>
      <c r="AZ48" s="74"/>
      <c r="BA48" s="74"/>
      <c r="BB48" s="74"/>
      <c r="BC48" s="74"/>
      <c r="BD48" s="74"/>
      <c r="BE48" s="74"/>
      <c r="BF48" s="74"/>
      <c r="BG48" s="74"/>
    </row>
    <row r="49" spans="2:59">
      <c r="B49" s="83">
        <v>44</v>
      </c>
      <c r="C49" s="252"/>
      <c r="D49" s="228" t="s">
        <v>827</v>
      </c>
      <c r="E49" s="228" t="s">
        <v>828</v>
      </c>
      <c r="F49" s="228" t="s">
        <v>6</v>
      </c>
      <c r="G49" s="228" t="s">
        <v>9</v>
      </c>
      <c r="H49" s="228" t="s">
        <v>113</v>
      </c>
      <c r="I49" s="228" t="s">
        <v>30</v>
      </c>
      <c r="J49" s="228" t="s">
        <v>112</v>
      </c>
      <c r="K49" s="229">
        <v>5</v>
      </c>
      <c r="L49" s="228" t="s">
        <v>112</v>
      </c>
      <c r="M49" s="229">
        <v>5</v>
      </c>
      <c r="N49" s="228" t="s">
        <v>112</v>
      </c>
      <c r="O49" s="229">
        <v>5</v>
      </c>
      <c r="P49" s="228" t="s">
        <v>112</v>
      </c>
      <c r="Q49" s="229">
        <v>5</v>
      </c>
      <c r="R49" s="229" t="s">
        <v>112</v>
      </c>
      <c r="S49" s="229">
        <v>5</v>
      </c>
      <c r="T49" s="229" t="s">
        <v>112</v>
      </c>
      <c r="U49" s="229">
        <v>5</v>
      </c>
      <c r="V49" s="229" t="s">
        <v>112</v>
      </c>
      <c r="W49" s="229">
        <v>5</v>
      </c>
      <c r="X49" s="229" t="s">
        <v>112</v>
      </c>
      <c r="Y49" s="229">
        <v>5</v>
      </c>
      <c r="Z49" s="229" t="s">
        <v>112</v>
      </c>
      <c r="AA49" s="229">
        <v>5</v>
      </c>
      <c r="AB49" s="233"/>
      <c r="AC49" s="10"/>
      <c r="AD49" s="79"/>
      <c r="AE49" s="79"/>
      <c r="AF49" s="79"/>
      <c r="AG49" s="79"/>
      <c r="AH49" s="79"/>
      <c r="AI49" s="80"/>
      <c r="AJ49" s="72"/>
      <c r="AK49" s="72"/>
      <c r="AL49" s="72"/>
      <c r="AM49" s="72"/>
      <c r="AN49" s="74"/>
      <c r="AO49" s="74"/>
      <c r="AP49" s="74"/>
      <c r="AQ49" s="74"/>
      <c r="AR49" s="74"/>
      <c r="AS49" s="74"/>
      <c r="AT49" s="74"/>
      <c r="AU49" s="74"/>
      <c r="AV49" s="74"/>
      <c r="AW49" s="74"/>
      <c r="AX49" s="74"/>
      <c r="AY49" s="74"/>
      <c r="AZ49" s="74"/>
      <c r="BA49" s="74"/>
      <c r="BB49" s="74"/>
      <c r="BC49" s="74"/>
      <c r="BD49" s="74"/>
      <c r="BE49" s="74"/>
      <c r="BF49" s="74"/>
      <c r="BG49" s="74"/>
    </row>
    <row r="50" spans="2:59">
      <c r="B50" s="83">
        <v>45</v>
      </c>
      <c r="C50" s="252"/>
      <c r="D50" s="228" t="s">
        <v>829</v>
      </c>
      <c r="E50" s="228" t="s">
        <v>830</v>
      </c>
      <c r="F50" s="228" t="s">
        <v>6</v>
      </c>
      <c r="G50" s="228" t="s">
        <v>9</v>
      </c>
      <c r="H50" s="228" t="s">
        <v>113</v>
      </c>
      <c r="I50" s="228" t="s">
        <v>30</v>
      </c>
      <c r="J50" s="228" t="s">
        <v>112</v>
      </c>
      <c r="K50" s="229">
        <v>5</v>
      </c>
      <c r="L50" s="228" t="s">
        <v>112</v>
      </c>
      <c r="M50" s="229">
        <v>5</v>
      </c>
      <c r="N50" s="228" t="s">
        <v>112</v>
      </c>
      <c r="O50" s="229">
        <v>5</v>
      </c>
      <c r="P50" s="228" t="s">
        <v>112</v>
      </c>
      <c r="Q50" s="229">
        <v>5</v>
      </c>
      <c r="R50" s="229" t="s">
        <v>112</v>
      </c>
      <c r="S50" s="229">
        <v>5</v>
      </c>
      <c r="T50" s="229" t="s">
        <v>112</v>
      </c>
      <c r="U50" s="229">
        <v>5</v>
      </c>
      <c r="V50" s="229" t="s">
        <v>112</v>
      </c>
      <c r="W50" s="229">
        <v>5</v>
      </c>
      <c r="X50" s="229" t="s">
        <v>112</v>
      </c>
      <c r="Y50" s="229">
        <v>5</v>
      </c>
      <c r="Z50" s="229" t="s">
        <v>112</v>
      </c>
      <c r="AA50" s="229">
        <v>5</v>
      </c>
      <c r="AB50" s="233"/>
      <c r="AC50" s="10"/>
      <c r="AD50" s="79"/>
      <c r="AE50" s="79"/>
      <c r="AF50" s="79"/>
      <c r="AG50" s="79"/>
      <c r="AH50" s="79"/>
      <c r="AI50" s="81"/>
      <c r="AJ50" s="72"/>
      <c r="AK50" s="72"/>
      <c r="AL50" s="72"/>
      <c r="AM50" s="72"/>
      <c r="AN50" s="74"/>
      <c r="AO50" s="74"/>
      <c r="AP50" s="74"/>
      <c r="AQ50" s="74"/>
      <c r="AR50" s="74"/>
      <c r="AS50" s="74"/>
      <c r="AT50" s="74"/>
      <c r="AU50" s="74"/>
      <c r="AV50" s="74"/>
      <c r="AW50" s="74"/>
      <c r="AX50" s="74"/>
      <c r="AY50" s="74"/>
      <c r="AZ50" s="74"/>
      <c r="BA50" s="74"/>
      <c r="BB50" s="74"/>
      <c r="BC50" s="74"/>
      <c r="BD50" s="74"/>
      <c r="BE50" s="74"/>
      <c r="BF50" s="74"/>
      <c r="BG50" s="74"/>
    </row>
    <row r="51" spans="2:59">
      <c r="B51" s="83">
        <v>46</v>
      </c>
      <c r="C51" s="252"/>
      <c r="D51" s="228" t="s">
        <v>831</v>
      </c>
      <c r="E51" s="228" t="s">
        <v>832</v>
      </c>
      <c r="F51" s="228" t="s">
        <v>6</v>
      </c>
      <c r="G51" s="228" t="s">
        <v>9</v>
      </c>
      <c r="H51" s="228" t="s">
        <v>113</v>
      </c>
      <c r="I51" s="228" t="s">
        <v>30</v>
      </c>
      <c r="J51" s="228" t="s">
        <v>112</v>
      </c>
      <c r="K51" s="229">
        <v>5</v>
      </c>
      <c r="L51" s="228" t="s">
        <v>112</v>
      </c>
      <c r="M51" s="229">
        <v>5</v>
      </c>
      <c r="N51" s="228" t="s">
        <v>112</v>
      </c>
      <c r="O51" s="229">
        <v>5</v>
      </c>
      <c r="P51" s="228" t="s">
        <v>112</v>
      </c>
      <c r="Q51" s="229">
        <v>5</v>
      </c>
      <c r="R51" s="229" t="s">
        <v>112</v>
      </c>
      <c r="S51" s="229">
        <v>5</v>
      </c>
      <c r="T51" s="229" t="s">
        <v>112</v>
      </c>
      <c r="U51" s="229">
        <v>5</v>
      </c>
      <c r="V51" s="229" t="s">
        <v>112</v>
      </c>
      <c r="W51" s="229">
        <v>5</v>
      </c>
      <c r="X51" s="229" t="s">
        <v>112</v>
      </c>
      <c r="Y51" s="229">
        <v>5</v>
      </c>
      <c r="Z51" s="229" t="s">
        <v>112</v>
      </c>
      <c r="AA51" s="229">
        <v>5</v>
      </c>
      <c r="AB51" s="233"/>
      <c r="AD51" s="79"/>
      <c r="AE51" s="79"/>
      <c r="AF51" s="79"/>
      <c r="AG51" s="79"/>
      <c r="AH51" s="79"/>
      <c r="AI51" s="81"/>
      <c r="AJ51" s="72"/>
      <c r="AK51" s="72"/>
      <c r="AL51" s="72"/>
      <c r="AM51" s="72"/>
      <c r="AN51" s="74"/>
      <c r="AO51" s="74"/>
      <c r="AP51" s="74"/>
      <c r="AQ51" s="74"/>
      <c r="AR51" s="74"/>
      <c r="AS51" s="74"/>
      <c r="AT51" s="74"/>
      <c r="AU51" s="74"/>
      <c r="AV51" s="74"/>
      <c r="AW51" s="74"/>
      <c r="AX51" s="74"/>
      <c r="AY51" s="74"/>
      <c r="AZ51" s="74"/>
      <c r="BA51" s="74"/>
      <c r="BB51" s="74"/>
      <c r="BC51" s="74"/>
      <c r="BD51" s="74"/>
      <c r="BE51" s="74"/>
      <c r="BF51" s="74"/>
      <c r="BG51" s="74"/>
    </row>
    <row r="52" spans="2:59">
      <c r="B52" s="83">
        <v>47</v>
      </c>
      <c r="C52" s="252"/>
      <c r="D52" s="228" t="s">
        <v>833</v>
      </c>
      <c r="E52" s="228" t="s">
        <v>834</v>
      </c>
      <c r="F52" s="228" t="s">
        <v>5</v>
      </c>
      <c r="G52" s="228" t="s">
        <v>9</v>
      </c>
      <c r="H52" s="228" t="s">
        <v>113</v>
      </c>
      <c r="I52" s="228" t="s">
        <v>32</v>
      </c>
      <c r="J52" s="228" t="s">
        <v>112</v>
      </c>
      <c r="K52" s="229">
        <v>5</v>
      </c>
      <c r="L52" s="228" t="s">
        <v>112</v>
      </c>
      <c r="M52" s="229">
        <v>5</v>
      </c>
      <c r="N52" s="228" t="s">
        <v>112</v>
      </c>
      <c r="O52" s="229">
        <v>5</v>
      </c>
      <c r="P52" s="228" t="s">
        <v>112</v>
      </c>
      <c r="Q52" s="229">
        <v>5</v>
      </c>
      <c r="R52" s="229" t="s">
        <v>112</v>
      </c>
      <c r="S52" s="229">
        <v>5</v>
      </c>
      <c r="T52" s="229" t="s">
        <v>112</v>
      </c>
      <c r="U52" s="229">
        <v>5</v>
      </c>
      <c r="V52" s="229" t="s">
        <v>112</v>
      </c>
      <c r="W52" s="229">
        <v>5</v>
      </c>
      <c r="X52" s="229" t="s">
        <v>112</v>
      </c>
      <c r="Y52" s="229">
        <v>5</v>
      </c>
      <c r="Z52" s="229" t="s">
        <v>112</v>
      </c>
      <c r="AA52" s="229">
        <v>5</v>
      </c>
      <c r="AB52" s="233"/>
      <c r="AD52" s="79"/>
      <c r="AE52" s="79"/>
      <c r="AF52" s="79"/>
      <c r="AG52" s="79"/>
      <c r="AH52" s="79"/>
      <c r="AI52" s="81"/>
      <c r="AJ52" s="72"/>
      <c r="AK52" s="72"/>
      <c r="AL52" s="72"/>
      <c r="AM52" s="72"/>
      <c r="AN52" s="74"/>
      <c r="AO52" s="74"/>
      <c r="AP52" s="74"/>
      <c r="AQ52" s="74"/>
      <c r="AR52" s="74"/>
      <c r="AS52" s="74"/>
      <c r="AT52" s="74"/>
      <c r="AU52" s="74"/>
      <c r="AV52" s="74"/>
      <c r="AW52" s="74"/>
      <c r="AX52" s="74"/>
      <c r="AY52" s="74"/>
      <c r="AZ52" s="74"/>
      <c r="BA52" s="74"/>
      <c r="BB52" s="74"/>
      <c r="BC52" s="74"/>
      <c r="BD52" s="74"/>
      <c r="BE52" s="74"/>
      <c r="BF52" s="74"/>
      <c r="BG52" s="74"/>
    </row>
    <row r="53" spans="2:59">
      <c r="B53" s="83">
        <v>48</v>
      </c>
      <c r="C53" s="252"/>
      <c r="D53" s="228" t="s">
        <v>835</v>
      </c>
      <c r="E53" s="228" t="s">
        <v>836</v>
      </c>
      <c r="F53" s="228" t="s">
        <v>5</v>
      </c>
      <c r="G53" s="228" t="s">
        <v>20</v>
      </c>
      <c r="H53" s="228" t="s">
        <v>113</v>
      </c>
      <c r="I53" s="228" t="s">
        <v>32</v>
      </c>
      <c r="J53" s="228" t="s">
        <v>112</v>
      </c>
      <c r="K53" s="229">
        <v>5</v>
      </c>
      <c r="L53" s="228" t="s">
        <v>112</v>
      </c>
      <c r="M53" s="229">
        <v>5</v>
      </c>
      <c r="N53" s="228" t="s">
        <v>112</v>
      </c>
      <c r="O53" s="229">
        <v>5</v>
      </c>
      <c r="P53" s="228" t="s">
        <v>112</v>
      </c>
      <c r="Q53" s="229">
        <v>5</v>
      </c>
      <c r="R53" s="229" t="s">
        <v>112</v>
      </c>
      <c r="S53" s="229">
        <v>5</v>
      </c>
      <c r="T53" s="229" t="s">
        <v>112</v>
      </c>
      <c r="U53" s="229">
        <v>5</v>
      </c>
      <c r="V53" s="229" t="s">
        <v>112</v>
      </c>
      <c r="W53" s="229">
        <v>5</v>
      </c>
      <c r="X53" s="229" t="s">
        <v>112</v>
      </c>
      <c r="Y53" s="229">
        <v>5</v>
      </c>
      <c r="Z53" s="229" t="s">
        <v>112</v>
      </c>
      <c r="AA53" s="229">
        <v>5</v>
      </c>
      <c r="AB53" s="233" t="s">
        <v>837</v>
      </c>
      <c r="AC53" s="79"/>
      <c r="AD53" s="79"/>
      <c r="AE53" s="79"/>
      <c r="AF53" s="79"/>
      <c r="AG53" s="79"/>
      <c r="AH53" s="79"/>
      <c r="AI53" s="81"/>
      <c r="AJ53" s="72"/>
      <c r="AK53" s="72"/>
      <c r="AL53" s="72"/>
      <c r="AM53" s="72"/>
      <c r="AN53" s="74"/>
      <c r="AO53" s="74"/>
      <c r="AP53" s="74"/>
      <c r="AQ53" s="74"/>
      <c r="AR53" s="74"/>
      <c r="AS53" s="74"/>
      <c r="AT53" s="74"/>
      <c r="AU53" s="74"/>
      <c r="AV53" s="74"/>
      <c r="AW53" s="74"/>
      <c r="AX53" s="74"/>
      <c r="AY53" s="74"/>
      <c r="AZ53" s="74"/>
      <c r="BA53" s="74"/>
      <c r="BB53" s="74"/>
      <c r="BC53" s="74"/>
      <c r="BD53" s="74"/>
      <c r="BE53" s="74"/>
      <c r="BF53" s="74"/>
      <c r="BG53" s="74"/>
    </row>
    <row r="54" spans="2:59">
      <c r="B54" s="83">
        <v>49</v>
      </c>
      <c r="C54" s="263" t="s">
        <v>838</v>
      </c>
      <c r="D54" s="228" t="s">
        <v>839</v>
      </c>
      <c r="E54" s="228" t="s">
        <v>840</v>
      </c>
      <c r="F54" s="228" t="s">
        <v>6</v>
      </c>
      <c r="G54" s="228" t="s">
        <v>9</v>
      </c>
      <c r="H54" s="228" t="s">
        <v>26</v>
      </c>
      <c r="I54" s="228" t="s">
        <v>30</v>
      </c>
      <c r="J54" s="228" t="s">
        <v>112</v>
      </c>
      <c r="K54" s="229">
        <v>5</v>
      </c>
      <c r="L54" s="228" t="s">
        <v>112</v>
      </c>
      <c r="M54" s="229">
        <v>5</v>
      </c>
      <c r="N54" s="228" t="s">
        <v>112</v>
      </c>
      <c r="O54" s="229">
        <v>5</v>
      </c>
      <c r="P54" s="228" t="s">
        <v>112</v>
      </c>
      <c r="Q54" s="229">
        <v>5</v>
      </c>
      <c r="R54" s="229" t="s">
        <v>112</v>
      </c>
      <c r="S54" s="229">
        <v>5</v>
      </c>
      <c r="T54" s="229" t="s">
        <v>112</v>
      </c>
      <c r="U54" s="229">
        <v>5</v>
      </c>
      <c r="V54" s="229" t="s">
        <v>112</v>
      </c>
      <c r="W54" s="229">
        <v>5</v>
      </c>
      <c r="X54" s="229" t="s">
        <v>112</v>
      </c>
      <c r="Y54" s="229">
        <v>5</v>
      </c>
      <c r="Z54" s="229" t="s">
        <v>112</v>
      </c>
      <c r="AA54" s="229">
        <v>5</v>
      </c>
      <c r="AB54" s="233"/>
      <c r="AC54" s="79"/>
      <c r="AD54" s="79"/>
      <c r="AE54" s="79"/>
      <c r="AF54" s="79"/>
      <c r="AG54" s="79"/>
      <c r="AH54" s="79"/>
      <c r="AI54" s="81"/>
      <c r="AJ54" s="72"/>
      <c r="AK54" s="72"/>
      <c r="AL54" s="72"/>
      <c r="AM54" s="72"/>
      <c r="AN54" s="74"/>
      <c r="AO54" s="74"/>
      <c r="AP54" s="74"/>
      <c r="AQ54" s="74"/>
      <c r="AR54" s="74"/>
      <c r="AS54" s="74"/>
      <c r="AT54" s="74"/>
      <c r="AU54" s="74"/>
      <c r="AV54" s="74"/>
      <c r="AW54" s="74"/>
      <c r="AX54" s="74"/>
      <c r="AY54" s="74"/>
      <c r="AZ54" s="74"/>
      <c r="BA54" s="74"/>
      <c r="BB54" s="74"/>
      <c r="BC54" s="74"/>
      <c r="BD54" s="74"/>
      <c r="BE54" s="74"/>
      <c r="BF54" s="74"/>
      <c r="BG54" s="74"/>
    </row>
    <row r="55" spans="2:59">
      <c r="B55" s="83">
        <v>50</v>
      </c>
      <c r="C55" s="263"/>
      <c r="D55" s="228" t="s">
        <v>841</v>
      </c>
      <c r="E55" s="228" t="s">
        <v>842</v>
      </c>
      <c r="F55" s="228" t="s">
        <v>6</v>
      </c>
      <c r="G55" s="228" t="s">
        <v>9</v>
      </c>
      <c r="H55" s="228" t="s">
        <v>26</v>
      </c>
      <c r="I55" s="228" t="s">
        <v>30</v>
      </c>
      <c r="J55" s="228" t="s">
        <v>35</v>
      </c>
      <c r="K55" s="229">
        <v>3</v>
      </c>
      <c r="L55" s="228" t="s">
        <v>35</v>
      </c>
      <c r="M55" s="229">
        <v>3</v>
      </c>
      <c r="N55" s="228" t="s">
        <v>36</v>
      </c>
      <c r="O55" s="229">
        <v>4</v>
      </c>
      <c r="P55" s="228" t="s">
        <v>35</v>
      </c>
      <c r="Q55" s="229">
        <v>3</v>
      </c>
      <c r="R55" s="229" t="s">
        <v>36</v>
      </c>
      <c r="S55" s="229">
        <v>4</v>
      </c>
      <c r="T55" s="229" t="s">
        <v>35</v>
      </c>
      <c r="U55" s="229">
        <v>3</v>
      </c>
      <c r="V55" s="229" t="s">
        <v>114</v>
      </c>
      <c r="W55" s="229">
        <v>2</v>
      </c>
      <c r="X55" s="229" t="s">
        <v>36</v>
      </c>
      <c r="Y55" s="229">
        <v>4</v>
      </c>
      <c r="Z55" s="229" t="s">
        <v>36</v>
      </c>
      <c r="AA55" s="229">
        <v>4</v>
      </c>
      <c r="AB55" s="233" t="s">
        <v>843</v>
      </c>
      <c r="AC55" s="79"/>
      <c r="AD55" s="79"/>
      <c r="AE55" s="79"/>
      <c r="AF55" s="79"/>
      <c r="AG55" s="79"/>
      <c r="AH55" s="79"/>
      <c r="AI55" s="81"/>
      <c r="AJ55" s="72"/>
      <c r="AK55" s="72"/>
      <c r="AL55" s="72"/>
      <c r="AM55" s="72"/>
      <c r="AN55" s="74"/>
      <c r="AO55" s="74"/>
      <c r="AP55" s="74"/>
      <c r="AQ55" s="74"/>
      <c r="AR55" s="74"/>
      <c r="AS55" s="74"/>
      <c r="AT55" s="74"/>
      <c r="AU55" s="74"/>
      <c r="AV55" s="74"/>
      <c r="AW55" s="74"/>
      <c r="AX55" s="74"/>
      <c r="AY55" s="74"/>
      <c r="AZ55" s="74"/>
      <c r="BA55" s="74"/>
      <c r="BB55" s="74"/>
      <c r="BC55" s="74"/>
      <c r="BD55" s="74"/>
      <c r="BE55" s="74"/>
      <c r="BF55" s="74"/>
      <c r="BG55" s="74"/>
    </row>
    <row r="56" spans="2:59">
      <c r="B56" s="83">
        <v>51</v>
      </c>
      <c r="C56" s="263"/>
      <c r="D56" s="228" t="s">
        <v>844</v>
      </c>
      <c r="E56" s="228" t="s">
        <v>845</v>
      </c>
      <c r="F56" s="228" t="s">
        <v>5</v>
      </c>
      <c r="G56" s="228" t="s">
        <v>9</v>
      </c>
      <c r="H56" s="228" t="s">
        <v>113</v>
      </c>
      <c r="I56" s="228" t="s">
        <v>29</v>
      </c>
      <c r="J56" s="228" t="s">
        <v>36</v>
      </c>
      <c r="K56" s="229">
        <v>4</v>
      </c>
      <c r="L56" s="228" t="s">
        <v>36</v>
      </c>
      <c r="M56" s="229">
        <v>4</v>
      </c>
      <c r="N56" s="228" t="s">
        <v>36</v>
      </c>
      <c r="O56" s="229">
        <v>4</v>
      </c>
      <c r="P56" s="228" t="s">
        <v>36</v>
      </c>
      <c r="Q56" s="229">
        <v>4</v>
      </c>
      <c r="R56" s="229" t="s">
        <v>36</v>
      </c>
      <c r="S56" s="229">
        <v>4</v>
      </c>
      <c r="T56" s="229" t="s">
        <v>36</v>
      </c>
      <c r="U56" s="229">
        <v>4</v>
      </c>
      <c r="V56" s="229" t="s">
        <v>35</v>
      </c>
      <c r="W56" s="229">
        <v>3</v>
      </c>
      <c r="X56" s="229" t="s">
        <v>114</v>
      </c>
      <c r="Y56" s="229">
        <v>2</v>
      </c>
      <c r="Z56" s="229" t="s">
        <v>35</v>
      </c>
      <c r="AA56" s="229">
        <v>3</v>
      </c>
      <c r="AB56" s="233"/>
      <c r="AC56" s="79"/>
      <c r="AD56" s="79"/>
      <c r="AE56" s="79"/>
      <c r="AF56" s="79"/>
      <c r="AG56" s="79"/>
      <c r="AH56" s="79"/>
      <c r="AI56" s="81"/>
      <c r="AJ56" s="72"/>
      <c r="AK56" s="72"/>
      <c r="AL56" s="72"/>
      <c r="AM56" s="72"/>
      <c r="AN56" s="74"/>
      <c r="AO56" s="74"/>
      <c r="AP56" s="74"/>
      <c r="AQ56" s="74"/>
      <c r="AR56" s="74"/>
      <c r="AS56" s="74"/>
      <c r="AT56" s="74"/>
      <c r="AU56" s="74"/>
      <c r="AV56" s="74"/>
      <c r="AW56" s="74"/>
      <c r="AX56" s="74"/>
      <c r="AY56" s="74"/>
      <c r="AZ56" s="74"/>
      <c r="BA56" s="74"/>
      <c r="BB56" s="74"/>
      <c r="BC56" s="74"/>
      <c r="BD56" s="74"/>
      <c r="BE56" s="74"/>
      <c r="BF56" s="74"/>
      <c r="BG56" s="74"/>
    </row>
    <row r="57" spans="2:59">
      <c r="B57" s="83">
        <v>52</v>
      </c>
      <c r="C57" s="263"/>
      <c r="D57" s="228" t="s">
        <v>846</v>
      </c>
      <c r="E57" s="228" t="s">
        <v>847</v>
      </c>
      <c r="F57" s="228" t="s">
        <v>6</v>
      </c>
      <c r="G57" s="228" t="s">
        <v>18</v>
      </c>
      <c r="H57" s="228" t="s">
        <v>113</v>
      </c>
      <c r="I57" s="228" t="s">
        <v>30</v>
      </c>
      <c r="J57" s="228" t="s">
        <v>112</v>
      </c>
      <c r="K57" s="229">
        <v>5</v>
      </c>
      <c r="L57" s="228" t="s">
        <v>112</v>
      </c>
      <c r="M57" s="229">
        <v>5</v>
      </c>
      <c r="N57" s="228" t="s">
        <v>112</v>
      </c>
      <c r="O57" s="229">
        <v>5</v>
      </c>
      <c r="P57" s="228" t="s">
        <v>112</v>
      </c>
      <c r="Q57" s="229">
        <v>5</v>
      </c>
      <c r="R57" s="229" t="s">
        <v>112</v>
      </c>
      <c r="S57" s="229">
        <v>5</v>
      </c>
      <c r="T57" s="229" t="s">
        <v>112</v>
      </c>
      <c r="U57" s="229">
        <v>5</v>
      </c>
      <c r="V57" s="229" t="s">
        <v>36</v>
      </c>
      <c r="W57" s="229">
        <v>4</v>
      </c>
      <c r="X57" s="229" t="s">
        <v>112</v>
      </c>
      <c r="Y57" s="229">
        <v>5</v>
      </c>
      <c r="Z57" s="229" t="s">
        <v>112</v>
      </c>
      <c r="AA57" s="229">
        <v>5</v>
      </c>
      <c r="AB57" s="233" t="s">
        <v>848</v>
      </c>
      <c r="AC57" s="79"/>
      <c r="AD57" s="79"/>
      <c r="AE57" s="79"/>
      <c r="AF57" s="79"/>
      <c r="AG57" s="79"/>
      <c r="AH57" s="79"/>
      <c r="AI57" s="80"/>
      <c r="AJ57" s="72"/>
      <c r="AK57" s="72"/>
      <c r="AL57" s="72"/>
      <c r="AM57" s="72"/>
      <c r="AN57" s="74"/>
      <c r="AO57" s="74"/>
      <c r="AP57" s="74"/>
      <c r="AQ57" s="74"/>
      <c r="AR57" s="74"/>
      <c r="AS57" s="74"/>
      <c r="AT57" s="74"/>
      <c r="AU57" s="74"/>
      <c r="AV57" s="74"/>
      <c r="AW57" s="74"/>
      <c r="AX57" s="74"/>
      <c r="AY57" s="74"/>
      <c r="AZ57" s="74"/>
      <c r="BA57" s="74"/>
      <c r="BB57" s="74"/>
      <c r="BC57" s="74"/>
      <c r="BD57" s="74"/>
      <c r="BE57" s="74"/>
      <c r="BF57" s="74"/>
      <c r="BG57" s="74"/>
    </row>
    <row r="58" spans="2:59">
      <c r="B58" s="83">
        <v>53</v>
      </c>
      <c r="C58" s="263"/>
      <c r="D58" s="228" t="s">
        <v>849</v>
      </c>
      <c r="E58" s="228" t="s">
        <v>850</v>
      </c>
      <c r="F58" s="228" t="s">
        <v>6</v>
      </c>
      <c r="G58" s="228" t="s">
        <v>9</v>
      </c>
      <c r="H58" s="228" t="s">
        <v>26</v>
      </c>
      <c r="I58" s="228" t="s">
        <v>30</v>
      </c>
      <c r="J58" s="228" t="s">
        <v>112</v>
      </c>
      <c r="K58" s="229">
        <v>5</v>
      </c>
      <c r="L58" s="228" t="s">
        <v>112</v>
      </c>
      <c r="M58" s="229">
        <v>5</v>
      </c>
      <c r="N58" s="228" t="s">
        <v>112</v>
      </c>
      <c r="O58" s="229">
        <v>5</v>
      </c>
      <c r="P58" s="228" t="s">
        <v>112</v>
      </c>
      <c r="Q58" s="229">
        <v>5</v>
      </c>
      <c r="R58" s="229" t="s">
        <v>112</v>
      </c>
      <c r="S58" s="229">
        <v>5</v>
      </c>
      <c r="T58" s="229" t="s">
        <v>112</v>
      </c>
      <c r="U58" s="229">
        <v>5</v>
      </c>
      <c r="V58" s="229" t="s">
        <v>112</v>
      </c>
      <c r="W58" s="229">
        <v>5</v>
      </c>
      <c r="X58" s="229" t="s">
        <v>112</v>
      </c>
      <c r="Y58" s="229">
        <v>5</v>
      </c>
      <c r="Z58" s="229" t="s">
        <v>112</v>
      </c>
      <c r="AA58" s="229">
        <v>5</v>
      </c>
      <c r="AB58" s="233" t="s">
        <v>851</v>
      </c>
      <c r="AC58" s="79"/>
      <c r="AD58" s="79"/>
      <c r="AE58" s="79"/>
      <c r="AF58" s="79"/>
      <c r="AG58" s="79"/>
      <c r="AH58" s="79"/>
      <c r="AI58" s="80"/>
      <c r="AJ58" s="72"/>
      <c r="AK58" s="72"/>
      <c r="AL58" s="72"/>
      <c r="AM58" s="72"/>
      <c r="AN58" s="74"/>
      <c r="AO58" s="74"/>
      <c r="AP58" s="74"/>
      <c r="AQ58" s="74"/>
      <c r="AR58" s="74"/>
      <c r="AS58" s="74"/>
      <c r="AT58" s="74"/>
      <c r="AU58" s="74"/>
      <c r="AV58" s="74"/>
      <c r="AW58" s="74"/>
      <c r="AX58" s="74"/>
      <c r="AY58" s="74"/>
      <c r="AZ58" s="74"/>
      <c r="BA58" s="74"/>
      <c r="BB58" s="74"/>
      <c r="BC58" s="74"/>
      <c r="BD58" s="74"/>
      <c r="BE58" s="74"/>
      <c r="BF58" s="74"/>
      <c r="BG58" s="74"/>
    </row>
    <row r="59" spans="2:59">
      <c r="B59" s="83">
        <v>54</v>
      </c>
      <c r="C59" s="263"/>
      <c r="D59" s="228" t="s">
        <v>852</v>
      </c>
      <c r="E59" s="228" t="s">
        <v>853</v>
      </c>
      <c r="F59" s="228" t="s">
        <v>6</v>
      </c>
      <c r="G59" s="228" t="s">
        <v>9</v>
      </c>
      <c r="H59" s="228" t="s">
        <v>26</v>
      </c>
      <c r="I59" s="228" t="s">
        <v>30</v>
      </c>
      <c r="J59" s="228" t="s">
        <v>112</v>
      </c>
      <c r="K59" s="229">
        <v>5</v>
      </c>
      <c r="L59" s="228" t="s">
        <v>112</v>
      </c>
      <c r="M59" s="229">
        <v>5</v>
      </c>
      <c r="N59" s="228" t="s">
        <v>112</v>
      </c>
      <c r="O59" s="229">
        <v>5</v>
      </c>
      <c r="P59" s="228" t="s">
        <v>112</v>
      </c>
      <c r="Q59" s="229">
        <v>5</v>
      </c>
      <c r="R59" s="229" t="s">
        <v>112</v>
      </c>
      <c r="S59" s="229">
        <v>5</v>
      </c>
      <c r="T59" s="229" t="s">
        <v>112</v>
      </c>
      <c r="U59" s="229">
        <v>5</v>
      </c>
      <c r="V59" s="229" t="s">
        <v>112</v>
      </c>
      <c r="W59" s="229">
        <v>5</v>
      </c>
      <c r="X59" s="229" t="s">
        <v>112</v>
      </c>
      <c r="Y59" s="229">
        <v>5</v>
      </c>
      <c r="Z59" s="229" t="s">
        <v>112</v>
      </c>
      <c r="AA59" s="229">
        <v>5</v>
      </c>
      <c r="AB59" s="233"/>
      <c r="AC59" s="79"/>
      <c r="AD59" s="79"/>
      <c r="AE59" s="79"/>
      <c r="AF59" s="79"/>
      <c r="AG59" s="79"/>
      <c r="AH59" s="79"/>
      <c r="AI59" s="80"/>
      <c r="AJ59" s="72"/>
      <c r="AK59" s="72"/>
      <c r="AL59" s="72"/>
      <c r="AM59" s="72"/>
      <c r="AN59" s="74"/>
      <c r="AO59" s="74"/>
      <c r="AP59" s="74"/>
      <c r="AQ59" s="74"/>
      <c r="AR59" s="74"/>
      <c r="AS59" s="74"/>
      <c r="AT59" s="74"/>
      <c r="AU59" s="74"/>
      <c r="AV59" s="74"/>
      <c r="AW59" s="74"/>
      <c r="AX59" s="74"/>
      <c r="AY59" s="74"/>
      <c r="AZ59" s="74"/>
      <c r="BA59" s="74"/>
      <c r="BB59" s="74"/>
      <c r="BC59" s="74"/>
      <c r="BD59" s="74"/>
      <c r="BE59" s="74"/>
      <c r="BF59" s="74"/>
      <c r="BG59" s="74"/>
    </row>
    <row r="60" spans="2:59">
      <c r="B60" s="83">
        <v>55</v>
      </c>
      <c r="C60" s="263"/>
      <c r="D60" s="228" t="s">
        <v>854</v>
      </c>
      <c r="E60" s="228" t="s">
        <v>855</v>
      </c>
      <c r="F60" s="228" t="s">
        <v>6</v>
      </c>
      <c r="G60" s="228" t="s">
        <v>9</v>
      </c>
      <c r="H60" s="228" t="s">
        <v>25</v>
      </c>
      <c r="I60" s="228" t="s">
        <v>30</v>
      </c>
      <c r="J60" s="228" t="s">
        <v>112</v>
      </c>
      <c r="K60" s="229">
        <v>5</v>
      </c>
      <c r="L60" s="228" t="s">
        <v>112</v>
      </c>
      <c r="M60" s="229">
        <v>5</v>
      </c>
      <c r="N60" s="228" t="s">
        <v>112</v>
      </c>
      <c r="O60" s="229">
        <v>5</v>
      </c>
      <c r="P60" s="228" t="s">
        <v>112</v>
      </c>
      <c r="Q60" s="229">
        <v>5</v>
      </c>
      <c r="R60" s="229" t="s">
        <v>112</v>
      </c>
      <c r="S60" s="229">
        <v>5</v>
      </c>
      <c r="T60" s="229" t="s">
        <v>112</v>
      </c>
      <c r="U60" s="229">
        <v>5</v>
      </c>
      <c r="V60" s="229" t="s">
        <v>112</v>
      </c>
      <c r="W60" s="229">
        <v>5</v>
      </c>
      <c r="X60" s="229" t="s">
        <v>112</v>
      </c>
      <c r="Y60" s="229">
        <v>5</v>
      </c>
      <c r="Z60" s="229" t="s">
        <v>112</v>
      </c>
      <c r="AA60" s="229">
        <v>5</v>
      </c>
      <c r="AB60" s="233" t="s">
        <v>856</v>
      </c>
      <c r="AC60" s="79"/>
      <c r="AD60" s="79"/>
      <c r="AE60" s="79"/>
      <c r="AF60" s="79"/>
      <c r="AG60" s="79"/>
      <c r="AH60" s="79"/>
      <c r="AI60" s="80"/>
      <c r="AJ60" s="72"/>
      <c r="AK60" s="72"/>
      <c r="AL60" s="72"/>
      <c r="AM60" s="72"/>
      <c r="AN60" s="74"/>
      <c r="AO60" s="74"/>
      <c r="AP60" s="74"/>
      <c r="AQ60" s="74"/>
      <c r="AR60" s="74"/>
      <c r="AS60" s="74"/>
      <c r="AT60" s="74"/>
      <c r="AU60" s="74"/>
      <c r="AV60" s="74"/>
      <c r="AW60" s="74"/>
      <c r="AX60" s="74"/>
      <c r="AY60" s="74"/>
      <c r="AZ60" s="74"/>
      <c r="BA60" s="74"/>
      <c r="BB60" s="74"/>
      <c r="BC60" s="74"/>
      <c r="BD60" s="74"/>
      <c r="BE60" s="74"/>
      <c r="BF60" s="74"/>
      <c r="BG60" s="74"/>
    </row>
    <row r="61" spans="2:59">
      <c r="B61" s="83">
        <v>56</v>
      </c>
      <c r="C61" s="263"/>
      <c r="D61" s="228" t="s">
        <v>857</v>
      </c>
      <c r="E61" s="228" t="s">
        <v>858</v>
      </c>
      <c r="F61" s="228" t="s">
        <v>5</v>
      </c>
      <c r="G61" s="228" t="s">
        <v>9</v>
      </c>
      <c r="H61" s="228" t="s">
        <v>113</v>
      </c>
      <c r="I61" s="228" t="s">
        <v>32</v>
      </c>
      <c r="J61" s="228" t="s">
        <v>112</v>
      </c>
      <c r="K61" s="229">
        <v>5</v>
      </c>
      <c r="L61" s="228" t="s">
        <v>36</v>
      </c>
      <c r="M61" s="229">
        <v>4</v>
      </c>
      <c r="N61" s="228" t="s">
        <v>112</v>
      </c>
      <c r="O61" s="229">
        <v>5</v>
      </c>
      <c r="P61" s="228" t="s">
        <v>112</v>
      </c>
      <c r="Q61" s="229">
        <v>5</v>
      </c>
      <c r="R61" s="229" t="s">
        <v>112</v>
      </c>
      <c r="S61" s="229">
        <v>5</v>
      </c>
      <c r="T61" s="229" t="s">
        <v>112</v>
      </c>
      <c r="U61" s="229">
        <v>5</v>
      </c>
      <c r="V61" s="229" t="s">
        <v>112</v>
      </c>
      <c r="W61" s="229">
        <v>5</v>
      </c>
      <c r="X61" s="229" t="s">
        <v>35</v>
      </c>
      <c r="Y61" s="229">
        <v>3</v>
      </c>
      <c r="Z61" s="229" t="s">
        <v>36</v>
      </c>
      <c r="AA61" s="229">
        <v>4</v>
      </c>
      <c r="AB61" s="233" t="s">
        <v>859</v>
      </c>
      <c r="AC61" s="79"/>
      <c r="AD61" s="79"/>
      <c r="AE61" s="79"/>
      <c r="AF61" s="79"/>
      <c r="AG61" s="79"/>
      <c r="AH61" s="79"/>
      <c r="AI61" s="80"/>
      <c r="AJ61" s="72"/>
      <c r="AK61" s="72"/>
      <c r="AL61" s="72"/>
      <c r="AM61" s="72"/>
      <c r="AN61" s="74"/>
      <c r="AO61" s="74"/>
      <c r="AP61" s="74"/>
      <c r="AQ61" s="74"/>
      <c r="AR61" s="74"/>
      <c r="AS61" s="74"/>
      <c r="AT61" s="74"/>
      <c r="AU61" s="74"/>
      <c r="AV61" s="74"/>
      <c r="AW61" s="74"/>
      <c r="AX61" s="74"/>
      <c r="AY61" s="74"/>
      <c r="AZ61" s="74"/>
      <c r="BA61" s="74"/>
      <c r="BB61" s="74"/>
      <c r="BC61" s="74"/>
      <c r="BD61" s="74"/>
      <c r="BE61" s="74"/>
      <c r="BF61" s="74"/>
      <c r="BG61" s="74"/>
    </row>
    <row r="62" spans="2:59">
      <c r="B62" s="83">
        <v>57</v>
      </c>
      <c r="C62" s="263"/>
      <c r="D62" s="228" t="s">
        <v>860</v>
      </c>
      <c r="E62" s="228" t="s">
        <v>861</v>
      </c>
      <c r="F62" s="228" t="s">
        <v>6</v>
      </c>
      <c r="G62" s="228" t="s">
        <v>9</v>
      </c>
      <c r="H62" s="228" t="s">
        <v>113</v>
      </c>
      <c r="I62" s="228" t="s">
        <v>30</v>
      </c>
      <c r="J62" s="228" t="s">
        <v>112</v>
      </c>
      <c r="K62" s="229">
        <v>5</v>
      </c>
      <c r="L62" s="228" t="s">
        <v>112</v>
      </c>
      <c r="M62" s="229">
        <v>5</v>
      </c>
      <c r="N62" s="228" t="s">
        <v>112</v>
      </c>
      <c r="O62" s="229">
        <v>5</v>
      </c>
      <c r="P62" s="228" t="s">
        <v>112</v>
      </c>
      <c r="Q62" s="229">
        <v>5</v>
      </c>
      <c r="R62" s="229" t="s">
        <v>112</v>
      </c>
      <c r="S62" s="229">
        <v>5</v>
      </c>
      <c r="T62" s="229" t="s">
        <v>112</v>
      </c>
      <c r="U62" s="229">
        <v>5</v>
      </c>
      <c r="V62" s="229" t="s">
        <v>112</v>
      </c>
      <c r="W62" s="229">
        <v>5</v>
      </c>
      <c r="X62" s="229" t="s">
        <v>112</v>
      </c>
      <c r="Y62" s="229">
        <v>5</v>
      </c>
      <c r="Z62" s="229" t="s">
        <v>112</v>
      </c>
      <c r="AA62" s="229">
        <v>5</v>
      </c>
      <c r="AB62" s="233" t="s">
        <v>862</v>
      </c>
      <c r="AC62" s="79"/>
      <c r="AD62" s="79"/>
      <c r="AE62" s="79"/>
      <c r="AF62" s="79"/>
      <c r="AG62" s="79"/>
      <c r="AH62" s="79"/>
      <c r="AI62" s="80"/>
      <c r="AJ62" s="72"/>
      <c r="AK62" s="72"/>
      <c r="AL62" s="72"/>
      <c r="AM62" s="72"/>
      <c r="AN62" s="74"/>
      <c r="AO62" s="74"/>
      <c r="AP62" s="74"/>
      <c r="AQ62" s="74"/>
      <c r="AR62" s="74"/>
      <c r="AS62" s="74"/>
      <c r="AT62" s="74"/>
      <c r="AU62" s="74"/>
      <c r="AV62" s="74"/>
      <c r="AW62" s="74"/>
      <c r="AX62" s="74"/>
      <c r="AY62" s="74"/>
      <c r="AZ62" s="74"/>
      <c r="BA62" s="74"/>
      <c r="BB62" s="74"/>
      <c r="BC62" s="74"/>
      <c r="BD62" s="74"/>
      <c r="BE62" s="74"/>
      <c r="BF62" s="74"/>
      <c r="BG62" s="74"/>
    </row>
    <row r="63" spans="2:59">
      <c r="B63" s="83">
        <v>58</v>
      </c>
      <c r="C63" s="263"/>
      <c r="D63" s="228" t="s">
        <v>863</v>
      </c>
      <c r="E63" s="228" t="s">
        <v>864</v>
      </c>
      <c r="F63" s="228" t="s">
        <v>6</v>
      </c>
      <c r="G63" s="228" t="s">
        <v>9</v>
      </c>
      <c r="H63" s="228" t="s">
        <v>113</v>
      </c>
      <c r="I63" s="228" t="s">
        <v>30</v>
      </c>
      <c r="J63" s="228" t="s">
        <v>112</v>
      </c>
      <c r="K63" s="229">
        <v>5</v>
      </c>
      <c r="L63" s="228" t="s">
        <v>112</v>
      </c>
      <c r="M63" s="229">
        <v>5</v>
      </c>
      <c r="N63" s="228" t="s">
        <v>112</v>
      </c>
      <c r="O63" s="229">
        <v>5</v>
      </c>
      <c r="P63" s="228" t="s">
        <v>112</v>
      </c>
      <c r="Q63" s="229">
        <v>5</v>
      </c>
      <c r="R63" s="229" t="s">
        <v>112</v>
      </c>
      <c r="S63" s="229">
        <v>5</v>
      </c>
      <c r="T63" s="229" t="s">
        <v>112</v>
      </c>
      <c r="U63" s="229">
        <v>5</v>
      </c>
      <c r="V63" s="229" t="s">
        <v>112</v>
      </c>
      <c r="W63" s="229">
        <v>5</v>
      </c>
      <c r="X63" s="229" t="s">
        <v>112</v>
      </c>
      <c r="Y63" s="229">
        <v>5</v>
      </c>
      <c r="Z63" s="229" t="s">
        <v>112</v>
      </c>
      <c r="AA63" s="229">
        <v>5</v>
      </c>
      <c r="AB63" s="233"/>
      <c r="AC63" s="79"/>
      <c r="AD63" s="79"/>
      <c r="AE63" s="79"/>
      <c r="AF63" s="79"/>
      <c r="AG63" s="79"/>
      <c r="AH63" s="79"/>
      <c r="AI63" s="80"/>
      <c r="AJ63" s="72"/>
      <c r="AK63" s="72"/>
      <c r="AL63" s="72"/>
      <c r="AM63" s="72"/>
      <c r="AN63" s="74"/>
      <c r="AO63" s="74"/>
      <c r="AP63" s="74"/>
      <c r="AQ63" s="74"/>
      <c r="AR63" s="74"/>
      <c r="AS63" s="74"/>
      <c r="AT63" s="74"/>
      <c r="AU63" s="74"/>
      <c r="AV63" s="74"/>
      <c r="AW63" s="74"/>
      <c r="AX63" s="74"/>
      <c r="AY63" s="74"/>
      <c r="AZ63" s="74"/>
      <c r="BA63" s="74"/>
      <c r="BB63" s="74"/>
      <c r="BC63" s="74"/>
      <c r="BD63" s="74"/>
      <c r="BE63" s="74"/>
      <c r="BF63" s="74"/>
      <c r="BG63" s="74"/>
    </row>
    <row r="64" spans="2:59">
      <c r="B64" s="83">
        <v>59</v>
      </c>
      <c r="C64" s="263"/>
      <c r="D64" s="228" t="s">
        <v>865</v>
      </c>
      <c r="E64" s="228" t="s">
        <v>866</v>
      </c>
      <c r="F64" s="228" t="s">
        <v>6</v>
      </c>
      <c r="G64" s="228" t="s">
        <v>7</v>
      </c>
      <c r="H64" s="228" t="s">
        <v>113</v>
      </c>
      <c r="I64" s="228" t="s">
        <v>30</v>
      </c>
      <c r="J64" s="228" t="s">
        <v>36</v>
      </c>
      <c r="K64" s="229">
        <v>4</v>
      </c>
      <c r="L64" s="228" t="s">
        <v>36</v>
      </c>
      <c r="M64" s="229">
        <v>4</v>
      </c>
      <c r="N64" s="228" t="s">
        <v>36</v>
      </c>
      <c r="O64" s="229">
        <v>4</v>
      </c>
      <c r="P64" s="228" t="s">
        <v>36</v>
      </c>
      <c r="Q64" s="229">
        <v>4</v>
      </c>
      <c r="R64" s="229" t="s">
        <v>35</v>
      </c>
      <c r="S64" s="229">
        <v>3</v>
      </c>
      <c r="T64" s="229" t="s">
        <v>36</v>
      </c>
      <c r="U64" s="229">
        <v>4</v>
      </c>
      <c r="V64" s="229" t="s">
        <v>35</v>
      </c>
      <c r="W64" s="229">
        <v>3</v>
      </c>
      <c r="X64" s="229" t="s">
        <v>35</v>
      </c>
      <c r="Y64" s="229">
        <v>3</v>
      </c>
      <c r="Z64" s="229" t="s">
        <v>36</v>
      </c>
      <c r="AA64" s="229">
        <v>4</v>
      </c>
      <c r="AB64" s="233"/>
      <c r="AC64" s="79"/>
      <c r="AD64" s="79"/>
      <c r="AE64" s="79"/>
      <c r="AF64" s="79"/>
      <c r="AG64" s="79"/>
      <c r="AH64" s="79"/>
      <c r="AI64" s="80"/>
      <c r="AJ64" s="72"/>
      <c r="AK64" s="72"/>
      <c r="AL64" s="72"/>
      <c r="AM64" s="72"/>
      <c r="AN64" s="74"/>
      <c r="AO64" s="74"/>
      <c r="AP64" s="74"/>
      <c r="AQ64" s="74"/>
      <c r="AR64" s="74"/>
      <c r="AS64" s="74"/>
      <c r="AT64" s="74"/>
      <c r="AU64" s="74"/>
      <c r="AV64" s="74"/>
      <c r="AW64" s="74"/>
      <c r="AX64" s="74"/>
      <c r="AY64" s="74"/>
      <c r="AZ64" s="74"/>
      <c r="BA64" s="74"/>
      <c r="BB64" s="74"/>
      <c r="BC64" s="74"/>
      <c r="BD64" s="74"/>
      <c r="BE64" s="74"/>
      <c r="BF64" s="74"/>
      <c r="BG64" s="74"/>
    </row>
    <row r="65" spans="2:59">
      <c r="B65" s="83">
        <v>60</v>
      </c>
      <c r="C65" s="263"/>
      <c r="D65" s="228" t="s">
        <v>867</v>
      </c>
      <c r="E65" s="228" t="s">
        <v>868</v>
      </c>
      <c r="F65" s="228" t="s">
        <v>6</v>
      </c>
      <c r="G65" s="228" t="s">
        <v>9</v>
      </c>
      <c r="H65" s="228" t="s">
        <v>113</v>
      </c>
      <c r="I65" s="228" t="s">
        <v>30</v>
      </c>
      <c r="J65" s="228" t="s">
        <v>112</v>
      </c>
      <c r="K65" s="229">
        <v>5</v>
      </c>
      <c r="L65" s="228" t="s">
        <v>112</v>
      </c>
      <c r="M65" s="229">
        <v>5</v>
      </c>
      <c r="N65" s="228" t="s">
        <v>112</v>
      </c>
      <c r="O65" s="229">
        <v>5</v>
      </c>
      <c r="P65" s="228" t="s">
        <v>112</v>
      </c>
      <c r="Q65" s="229">
        <v>5</v>
      </c>
      <c r="R65" s="229" t="s">
        <v>112</v>
      </c>
      <c r="S65" s="229">
        <v>5</v>
      </c>
      <c r="T65" s="229" t="s">
        <v>112</v>
      </c>
      <c r="U65" s="229">
        <v>5</v>
      </c>
      <c r="V65" s="229" t="s">
        <v>112</v>
      </c>
      <c r="W65" s="229">
        <v>5</v>
      </c>
      <c r="X65" s="229" t="s">
        <v>112</v>
      </c>
      <c r="Y65" s="229">
        <v>5</v>
      </c>
      <c r="Z65" s="229" t="s">
        <v>112</v>
      </c>
      <c r="AA65" s="229">
        <v>5</v>
      </c>
      <c r="AB65" s="233" t="s">
        <v>869</v>
      </c>
      <c r="AC65" s="79"/>
      <c r="AD65" s="79"/>
      <c r="AE65" s="79"/>
      <c r="AF65" s="79"/>
      <c r="AG65" s="79"/>
      <c r="AH65" s="79"/>
      <c r="AI65" s="80"/>
      <c r="AJ65" s="72"/>
      <c r="AK65" s="72"/>
      <c r="AL65" s="72"/>
      <c r="AM65" s="72"/>
      <c r="AN65" s="74"/>
      <c r="AO65" s="74"/>
      <c r="AP65" s="74"/>
      <c r="AQ65" s="74"/>
      <c r="AR65" s="74"/>
      <c r="AS65" s="74"/>
      <c r="AT65" s="74"/>
      <c r="AU65" s="74"/>
      <c r="AV65" s="74"/>
      <c r="AW65" s="74"/>
      <c r="AX65" s="74"/>
      <c r="AY65" s="74"/>
      <c r="AZ65" s="74"/>
      <c r="BA65" s="74"/>
      <c r="BB65" s="74"/>
      <c r="BC65" s="74"/>
      <c r="BD65" s="74"/>
      <c r="BE65" s="74"/>
      <c r="BF65" s="74"/>
      <c r="BG65" s="74"/>
    </row>
    <row r="66" spans="2:59">
      <c r="B66" s="83">
        <v>61</v>
      </c>
      <c r="C66" s="263"/>
      <c r="D66" s="228" t="s">
        <v>870</v>
      </c>
      <c r="E66" s="228" t="s">
        <v>871</v>
      </c>
      <c r="F66" s="228" t="s">
        <v>6</v>
      </c>
      <c r="G66" s="228" t="s">
        <v>9</v>
      </c>
      <c r="H66" s="228" t="s">
        <v>26</v>
      </c>
      <c r="I66" s="228" t="s">
        <v>30</v>
      </c>
      <c r="J66" s="228" t="s">
        <v>112</v>
      </c>
      <c r="K66" s="229">
        <v>5</v>
      </c>
      <c r="L66" s="228" t="s">
        <v>112</v>
      </c>
      <c r="M66" s="229">
        <v>5</v>
      </c>
      <c r="N66" s="228" t="s">
        <v>112</v>
      </c>
      <c r="O66" s="229">
        <v>5</v>
      </c>
      <c r="P66" s="228" t="s">
        <v>112</v>
      </c>
      <c r="Q66" s="229">
        <v>5</v>
      </c>
      <c r="R66" s="229" t="s">
        <v>112</v>
      </c>
      <c r="S66" s="229">
        <v>5</v>
      </c>
      <c r="T66" s="229" t="s">
        <v>112</v>
      </c>
      <c r="U66" s="229">
        <v>5</v>
      </c>
      <c r="V66" s="229" t="s">
        <v>112</v>
      </c>
      <c r="W66" s="229">
        <v>5</v>
      </c>
      <c r="X66" s="229" t="s">
        <v>112</v>
      </c>
      <c r="Y66" s="229">
        <v>5</v>
      </c>
      <c r="Z66" s="229" t="s">
        <v>112</v>
      </c>
      <c r="AA66" s="229">
        <v>5</v>
      </c>
      <c r="AB66" s="233"/>
      <c r="AC66" s="79"/>
      <c r="AD66" s="79"/>
      <c r="AE66" s="79"/>
      <c r="AF66" s="79"/>
      <c r="AG66" s="79"/>
      <c r="AH66" s="79"/>
      <c r="AI66" s="80"/>
      <c r="AJ66" s="72"/>
      <c r="AK66" s="72"/>
      <c r="AL66" s="72"/>
      <c r="AM66" s="72"/>
      <c r="AN66" s="74"/>
      <c r="AO66" s="74"/>
      <c r="AP66" s="74"/>
      <c r="AQ66" s="74"/>
      <c r="AR66" s="74"/>
      <c r="AS66" s="74"/>
      <c r="AT66" s="74"/>
      <c r="AU66" s="74"/>
      <c r="AV66" s="74"/>
      <c r="AW66" s="74"/>
      <c r="AX66" s="74"/>
      <c r="AY66" s="74"/>
      <c r="AZ66" s="74"/>
      <c r="BA66" s="74"/>
      <c r="BB66" s="74"/>
      <c r="BC66" s="74"/>
      <c r="BD66" s="74"/>
      <c r="BE66" s="74"/>
      <c r="BF66" s="74"/>
      <c r="BG66" s="74"/>
    </row>
    <row r="67" spans="2:59">
      <c r="B67" s="83">
        <v>62</v>
      </c>
      <c r="C67" s="263"/>
      <c r="D67" s="228" t="s">
        <v>872</v>
      </c>
      <c r="E67" s="228" t="s">
        <v>873</v>
      </c>
      <c r="F67" s="228" t="s">
        <v>6</v>
      </c>
      <c r="G67" s="228" t="s">
        <v>9</v>
      </c>
      <c r="H67" s="228" t="s">
        <v>25</v>
      </c>
      <c r="I67" s="228" t="s">
        <v>30</v>
      </c>
      <c r="J67" s="228" t="s">
        <v>112</v>
      </c>
      <c r="K67" s="229">
        <v>5</v>
      </c>
      <c r="L67" s="228" t="s">
        <v>112</v>
      </c>
      <c r="M67" s="229">
        <v>5</v>
      </c>
      <c r="N67" s="228" t="s">
        <v>112</v>
      </c>
      <c r="O67" s="229">
        <v>5</v>
      </c>
      <c r="P67" s="228" t="s">
        <v>112</v>
      </c>
      <c r="Q67" s="229">
        <v>5</v>
      </c>
      <c r="R67" s="229" t="s">
        <v>112</v>
      </c>
      <c r="S67" s="229">
        <v>5</v>
      </c>
      <c r="T67" s="229" t="s">
        <v>112</v>
      </c>
      <c r="U67" s="229">
        <v>5</v>
      </c>
      <c r="V67" s="229" t="s">
        <v>112</v>
      </c>
      <c r="W67" s="229">
        <v>5</v>
      </c>
      <c r="X67" s="229" t="s">
        <v>112</v>
      </c>
      <c r="Y67" s="229">
        <v>5</v>
      </c>
      <c r="Z67" s="229" t="s">
        <v>112</v>
      </c>
      <c r="AA67" s="229">
        <v>5</v>
      </c>
      <c r="AB67" s="233" t="s">
        <v>874</v>
      </c>
      <c r="AC67" s="79"/>
      <c r="AD67" s="79"/>
      <c r="AE67" s="79"/>
      <c r="AF67" s="79"/>
      <c r="AG67" s="79"/>
      <c r="AH67" s="79"/>
      <c r="AI67" s="80"/>
      <c r="AJ67" s="72"/>
      <c r="AK67" s="72"/>
      <c r="AL67" s="72"/>
      <c r="AM67" s="72"/>
      <c r="AN67" s="74"/>
      <c r="AO67" s="74"/>
      <c r="AP67" s="74"/>
      <c r="AQ67" s="74"/>
      <c r="AR67" s="74"/>
      <c r="AS67" s="74"/>
      <c r="AT67" s="74"/>
      <c r="AU67" s="74"/>
      <c r="AV67" s="74"/>
      <c r="AW67" s="74"/>
      <c r="AX67" s="74"/>
      <c r="AY67" s="74"/>
      <c r="AZ67" s="74"/>
      <c r="BA67" s="74"/>
      <c r="BB67" s="74"/>
      <c r="BC67" s="74"/>
      <c r="BD67" s="74"/>
      <c r="BE67" s="74"/>
      <c r="BF67" s="74"/>
      <c r="BG67" s="74"/>
    </row>
    <row r="68" spans="2:59">
      <c r="B68" s="83">
        <v>63</v>
      </c>
      <c r="C68" s="263"/>
      <c r="D68" s="228" t="s">
        <v>875</v>
      </c>
      <c r="E68" s="228" t="s">
        <v>876</v>
      </c>
      <c r="F68" s="228" t="s">
        <v>6</v>
      </c>
      <c r="G68" s="228" t="s">
        <v>9</v>
      </c>
      <c r="H68" s="228" t="s">
        <v>113</v>
      </c>
      <c r="I68" s="228" t="s">
        <v>30</v>
      </c>
      <c r="J68" s="228" t="s">
        <v>112</v>
      </c>
      <c r="K68" s="229">
        <v>5</v>
      </c>
      <c r="L68" s="228" t="s">
        <v>112</v>
      </c>
      <c r="M68" s="229">
        <v>5</v>
      </c>
      <c r="N68" s="228" t="s">
        <v>112</v>
      </c>
      <c r="O68" s="229">
        <v>5</v>
      </c>
      <c r="P68" s="228" t="s">
        <v>36</v>
      </c>
      <c r="Q68" s="229">
        <v>4</v>
      </c>
      <c r="R68" s="229" t="s">
        <v>112</v>
      </c>
      <c r="S68" s="229">
        <v>5</v>
      </c>
      <c r="T68" s="229" t="s">
        <v>112</v>
      </c>
      <c r="U68" s="229">
        <v>5</v>
      </c>
      <c r="V68" s="229" t="s">
        <v>36</v>
      </c>
      <c r="W68" s="229">
        <v>4</v>
      </c>
      <c r="X68" s="229" t="s">
        <v>36</v>
      </c>
      <c r="Y68" s="229">
        <v>4</v>
      </c>
      <c r="Z68" s="229" t="s">
        <v>36</v>
      </c>
      <c r="AA68" s="229">
        <v>4</v>
      </c>
      <c r="AB68" s="233" t="s">
        <v>877</v>
      </c>
      <c r="AC68" s="79"/>
      <c r="AD68" s="79"/>
      <c r="AE68" s="79"/>
      <c r="AF68" s="79"/>
      <c r="AG68" s="79"/>
      <c r="AH68" s="79"/>
      <c r="AI68" s="80"/>
      <c r="AJ68" s="72"/>
      <c r="AK68" s="72"/>
      <c r="AL68" s="72"/>
      <c r="AM68" s="72"/>
      <c r="AN68" s="74"/>
      <c r="AO68" s="74"/>
      <c r="AP68" s="74"/>
      <c r="AQ68" s="74"/>
      <c r="AR68" s="74"/>
      <c r="AS68" s="74"/>
      <c r="AT68" s="74"/>
      <c r="AU68" s="74"/>
      <c r="AV68" s="74"/>
      <c r="AW68" s="74"/>
      <c r="AX68" s="74"/>
      <c r="AY68" s="74"/>
      <c r="AZ68" s="74"/>
      <c r="BA68" s="74"/>
      <c r="BB68" s="74"/>
      <c r="BC68" s="74"/>
      <c r="BD68" s="74"/>
      <c r="BE68" s="74"/>
      <c r="BF68" s="74"/>
      <c r="BG68" s="74"/>
    </row>
    <row r="69" spans="2:59">
      <c r="B69" s="83">
        <v>64</v>
      </c>
      <c r="C69" s="263"/>
      <c r="D69" s="228" t="s">
        <v>878</v>
      </c>
      <c r="E69" s="228" t="s">
        <v>879</v>
      </c>
      <c r="F69" s="228" t="s">
        <v>6</v>
      </c>
      <c r="G69" s="228" t="s">
        <v>9</v>
      </c>
      <c r="H69" s="228" t="s">
        <v>113</v>
      </c>
      <c r="I69" s="228" t="s">
        <v>30</v>
      </c>
      <c r="J69" s="228" t="s">
        <v>112</v>
      </c>
      <c r="K69" s="229">
        <v>5</v>
      </c>
      <c r="L69" s="228" t="s">
        <v>112</v>
      </c>
      <c r="M69" s="229">
        <v>5</v>
      </c>
      <c r="N69" s="228" t="s">
        <v>112</v>
      </c>
      <c r="O69" s="229">
        <v>5</v>
      </c>
      <c r="P69" s="228" t="s">
        <v>112</v>
      </c>
      <c r="Q69" s="229">
        <v>5</v>
      </c>
      <c r="R69" s="229" t="s">
        <v>112</v>
      </c>
      <c r="S69" s="229">
        <v>5</v>
      </c>
      <c r="T69" s="229" t="s">
        <v>112</v>
      </c>
      <c r="U69" s="229">
        <v>5</v>
      </c>
      <c r="V69" s="229" t="s">
        <v>112</v>
      </c>
      <c r="W69" s="229">
        <v>5</v>
      </c>
      <c r="X69" s="229" t="s">
        <v>112</v>
      </c>
      <c r="Y69" s="229">
        <v>5</v>
      </c>
      <c r="Z69" s="229" t="s">
        <v>112</v>
      </c>
      <c r="AA69" s="229">
        <v>5</v>
      </c>
      <c r="AB69" s="233" t="s">
        <v>880</v>
      </c>
      <c r="AC69" s="79"/>
      <c r="AD69" s="79"/>
      <c r="AE69" s="79"/>
      <c r="AF69" s="79"/>
      <c r="AG69" s="79"/>
      <c r="AH69" s="79"/>
      <c r="AI69" s="80"/>
      <c r="AJ69" s="72"/>
      <c r="AK69" s="72"/>
      <c r="AL69" s="72"/>
      <c r="AM69" s="72"/>
      <c r="AN69" s="74"/>
      <c r="AO69" s="74"/>
      <c r="AP69" s="74"/>
      <c r="AQ69" s="74"/>
      <c r="AR69" s="74"/>
      <c r="AS69" s="74"/>
      <c r="AT69" s="74"/>
      <c r="AU69" s="74"/>
      <c r="AV69" s="74"/>
      <c r="AW69" s="74"/>
      <c r="AX69" s="74"/>
      <c r="AY69" s="74"/>
      <c r="AZ69" s="74"/>
      <c r="BA69" s="74"/>
      <c r="BB69" s="74"/>
      <c r="BC69" s="74"/>
      <c r="BD69" s="74"/>
      <c r="BE69" s="74"/>
      <c r="BF69" s="74"/>
      <c r="BG69" s="74"/>
    </row>
    <row r="70" spans="2:59">
      <c r="B70" s="83">
        <v>65</v>
      </c>
      <c r="C70" s="263"/>
      <c r="D70" s="228" t="s">
        <v>881</v>
      </c>
      <c r="E70" s="228" t="s">
        <v>882</v>
      </c>
      <c r="F70" s="228" t="s">
        <v>6</v>
      </c>
      <c r="G70" s="228" t="s">
        <v>9</v>
      </c>
      <c r="H70" s="228" t="s">
        <v>113</v>
      </c>
      <c r="I70" s="228" t="s">
        <v>30</v>
      </c>
      <c r="J70" s="228" t="s">
        <v>112</v>
      </c>
      <c r="K70" s="229">
        <v>5</v>
      </c>
      <c r="L70" s="228" t="s">
        <v>112</v>
      </c>
      <c r="M70" s="229">
        <v>5</v>
      </c>
      <c r="N70" s="228" t="s">
        <v>112</v>
      </c>
      <c r="O70" s="229">
        <v>5</v>
      </c>
      <c r="P70" s="228" t="s">
        <v>112</v>
      </c>
      <c r="Q70" s="229">
        <v>5</v>
      </c>
      <c r="R70" s="229" t="s">
        <v>112</v>
      </c>
      <c r="S70" s="229">
        <v>5</v>
      </c>
      <c r="T70" s="229" t="s">
        <v>112</v>
      </c>
      <c r="U70" s="229">
        <v>5</v>
      </c>
      <c r="V70" s="229" t="s">
        <v>112</v>
      </c>
      <c r="W70" s="229">
        <v>5</v>
      </c>
      <c r="X70" s="229" t="s">
        <v>112</v>
      </c>
      <c r="Y70" s="229">
        <v>5</v>
      </c>
      <c r="Z70" s="229" t="s">
        <v>112</v>
      </c>
      <c r="AA70" s="229">
        <v>5</v>
      </c>
      <c r="AB70" s="233" t="s">
        <v>883</v>
      </c>
      <c r="AC70" s="79"/>
      <c r="AD70" s="79"/>
      <c r="AE70" s="79"/>
      <c r="AF70" s="79"/>
      <c r="AG70" s="79"/>
      <c r="AH70" s="79"/>
      <c r="AI70" s="80"/>
      <c r="AJ70" s="72"/>
      <c r="AK70" s="72"/>
      <c r="AL70" s="72"/>
      <c r="AM70" s="72"/>
      <c r="AN70" s="74"/>
      <c r="AO70" s="74"/>
      <c r="AP70" s="74"/>
      <c r="AQ70" s="74"/>
      <c r="AR70" s="74"/>
      <c r="AS70" s="74"/>
      <c r="AT70" s="74"/>
      <c r="AU70" s="74"/>
      <c r="AV70" s="74"/>
      <c r="AW70" s="74"/>
      <c r="AX70" s="74"/>
      <c r="AY70" s="74"/>
      <c r="AZ70" s="74"/>
      <c r="BA70" s="74"/>
      <c r="BB70" s="74"/>
      <c r="BC70" s="74"/>
      <c r="BD70" s="74"/>
      <c r="BE70" s="74"/>
      <c r="BF70" s="74"/>
      <c r="BG70" s="74"/>
    </row>
    <row r="71" spans="2:59">
      <c r="B71" s="83">
        <v>66</v>
      </c>
      <c r="C71" s="263"/>
      <c r="D71" s="228" t="s">
        <v>884</v>
      </c>
      <c r="E71" s="228" t="s">
        <v>885</v>
      </c>
      <c r="F71" s="228" t="s">
        <v>6</v>
      </c>
      <c r="G71" s="228" t="s">
        <v>19</v>
      </c>
      <c r="H71" s="228" t="s">
        <v>113</v>
      </c>
      <c r="I71" s="228" t="s">
        <v>30</v>
      </c>
      <c r="J71" s="228" t="s">
        <v>112</v>
      </c>
      <c r="K71" s="229">
        <v>5</v>
      </c>
      <c r="L71" s="228" t="s">
        <v>112</v>
      </c>
      <c r="M71" s="229">
        <v>5</v>
      </c>
      <c r="N71" s="228" t="s">
        <v>112</v>
      </c>
      <c r="O71" s="229">
        <v>5</v>
      </c>
      <c r="P71" s="228" t="s">
        <v>112</v>
      </c>
      <c r="Q71" s="229">
        <v>5</v>
      </c>
      <c r="R71" s="229" t="s">
        <v>36</v>
      </c>
      <c r="S71" s="229">
        <v>4</v>
      </c>
      <c r="T71" s="229" t="s">
        <v>36</v>
      </c>
      <c r="U71" s="229">
        <v>4</v>
      </c>
      <c r="V71" s="229" t="s">
        <v>36</v>
      </c>
      <c r="W71" s="229">
        <v>4</v>
      </c>
      <c r="X71" s="229" t="s">
        <v>36</v>
      </c>
      <c r="Y71" s="229">
        <v>4</v>
      </c>
      <c r="Z71" s="229" t="s">
        <v>36</v>
      </c>
      <c r="AA71" s="229">
        <v>4</v>
      </c>
      <c r="AB71" s="233"/>
      <c r="AC71" s="79"/>
      <c r="AD71" s="79"/>
      <c r="AE71" s="79"/>
      <c r="AF71" s="79"/>
      <c r="AG71" s="79"/>
      <c r="AH71" s="79"/>
      <c r="AI71" s="80"/>
      <c r="AJ71" s="72"/>
      <c r="AK71" s="72"/>
      <c r="AL71" s="72"/>
      <c r="AM71" s="72"/>
      <c r="AN71" s="74"/>
      <c r="AO71" s="74"/>
      <c r="AP71" s="74"/>
      <c r="AQ71" s="74"/>
      <c r="AR71" s="74"/>
      <c r="AS71" s="74"/>
      <c r="AT71" s="74"/>
      <c r="AU71" s="74"/>
      <c r="AV71" s="74"/>
      <c r="AW71" s="74"/>
      <c r="AX71" s="74"/>
      <c r="AY71" s="74"/>
      <c r="AZ71" s="74"/>
      <c r="BA71" s="74"/>
      <c r="BB71" s="74"/>
      <c r="BC71" s="74"/>
      <c r="BD71" s="74"/>
      <c r="BE71" s="74"/>
      <c r="BF71" s="74"/>
      <c r="BG71" s="74"/>
    </row>
    <row r="72" spans="2:59">
      <c r="B72" s="83">
        <v>67</v>
      </c>
      <c r="C72" s="263"/>
      <c r="D72" s="228" t="s">
        <v>886</v>
      </c>
      <c r="E72" s="228" t="s">
        <v>887</v>
      </c>
      <c r="F72" s="228" t="s">
        <v>6</v>
      </c>
      <c r="G72" s="228" t="s">
        <v>9</v>
      </c>
      <c r="H72" s="228" t="s">
        <v>113</v>
      </c>
      <c r="I72" s="228" t="s">
        <v>30</v>
      </c>
      <c r="J72" s="228" t="s">
        <v>112</v>
      </c>
      <c r="K72" s="229">
        <v>5</v>
      </c>
      <c r="L72" s="228" t="s">
        <v>112</v>
      </c>
      <c r="M72" s="229">
        <v>5</v>
      </c>
      <c r="N72" s="228" t="s">
        <v>112</v>
      </c>
      <c r="O72" s="229">
        <v>5</v>
      </c>
      <c r="P72" s="228" t="s">
        <v>36</v>
      </c>
      <c r="Q72" s="229">
        <v>4</v>
      </c>
      <c r="R72" s="229" t="s">
        <v>36</v>
      </c>
      <c r="S72" s="229">
        <v>4</v>
      </c>
      <c r="T72" s="229" t="s">
        <v>112</v>
      </c>
      <c r="U72" s="229">
        <v>5</v>
      </c>
      <c r="V72" s="229" t="s">
        <v>36</v>
      </c>
      <c r="W72" s="229">
        <v>4</v>
      </c>
      <c r="X72" s="229" t="s">
        <v>35</v>
      </c>
      <c r="Y72" s="229">
        <v>3</v>
      </c>
      <c r="Z72" s="229" t="s">
        <v>36</v>
      </c>
      <c r="AA72" s="229">
        <v>4</v>
      </c>
      <c r="AB72" s="233"/>
      <c r="AC72" s="79"/>
      <c r="AD72" s="79"/>
      <c r="AE72" s="79"/>
      <c r="AF72" s="79"/>
      <c r="AG72" s="79"/>
      <c r="AH72" s="79"/>
      <c r="AI72" s="80"/>
      <c r="AJ72" s="72"/>
      <c r="AK72" s="72"/>
      <c r="AL72" s="72"/>
      <c r="AM72" s="72"/>
      <c r="AN72" s="74"/>
      <c r="AO72" s="74"/>
      <c r="AP72" s="74"/>
      <c r="AQ72" s="74"/>
      <c r="AR72" s="74"/>
      <c r="AS72" s="74"/>
      <c r="AT72" s="74"/>
      <c r="AU72" s="74"/>
      <c r="AV72" s="74"/>
      <c r="AW72" s="74"/>
      <c r="AX72" s="74"/>
      <c r="AY72" s="74"/>
      <c r="AZ72" s="74"/>
      <c r="BA72" s="74"/>
      <c r="BB72" s="74"/>
      <c r="BC72" s="74"/>
      <c r="BD72" s="74"/>
      <c r="BE72" s="74"/>
      <c r="BF72" s="74"/>
      <c r="BG72" s="74"/>
    </row>
    <row r="73" spans="2:59">
      <c r="B73" s="83">
        <v>68</v>
      </c>
      <c r="C73" s="263"/>
      <c r="D73" s="228" t="s">
        <v>888</v>
      </c>
      <c r="E73" s="228" t="s">
        <v>889</v>
      </c>
      <c r="F73" s="228" t="s">
        <v>6</v>
      </c>
      <c r="G73" s="228" t="s">
        <v>9</v>
      </c>
      <c r="H73" s="228" t="s">
        <v>113</v>
      </c>
      <c r="I73" s="228" t="s">
        <v>30</v>
      </c>
      <c r="J73" s="228" t="s">
        <v>112</v>
      </c>
      <c r="K73" s="229">
        <v>5</v>
      </c>
      <c r="L73" s="228" t="s">
        <v>112</v>
      </c>
      <c r="M73" s="229">
        <v>5</v>
      </c>
      <c r="N73" s="228" t="s">
        <v>112</v>
      </c>
      <c r="O73" s="229">
        <v>5</v>
      </c>
      <c r="P73" s="228" t="s">
        <v>112</v>
      </c>
      <c r="Q73" s="229">
        <v>5</v>
      </c>
      <c r="R73" s="229" t="s">
        <v>112</v>
      </c>
      <c r="S73" s="229">
        <v>5</v>
      </c>
      <c r="T73" s="229" t="s">
        <v>112</v>
      </c>
      <c r="U73" s="229">
        <v>5</v>
      </c>
      <c r="V73" s="229" t="s">
        <v>112</v>
      </c>
      <c r="W73" s="229">
        <v>5</v>
      </c>
      <c r="X73" s="229" t="s">
        <v>112</v>
      </c>
      <c r="Y73" s="229">
        <v>5</v>
      </c>
      <c r="Z73" s="229" t="s">
        <v>36</v>
      </c>
      <c r="AA73" s="229">
        <v>4</v>
      </c>
      <c r="AB73" s="233"/>
      <c r="AC73" s="79"/>
      <c r="AD73" s="79"/>
      <c r="AE73" s="79"/>
      <c r="AF73" s="79"/>
      <c r="AG73" s="79"/>
      <c r="AH73" s="79"/>
      <c r="AI73" s="80"/>
      <c r="AJ73" s="72"/>
      <c r="AK73" s="72"/>
      <c r="AL73" s="72"/>
      <c r="AM73" s="72"/>
      <c r="AN73" s="74"/>
      <c r="AO73" s="74"/>
      <c r="AP73" s="74"/>
      <c r="AQ73" s="74"/>
      <c r="AR73" s="74"/>
      <c r="AS73" s="74"/>
      <c r="AT73" s="74"/>
      <c r="AU73" s="74"/>
      <c r="AV73" s="74"/>
      <c r="AW73" s="74"/>
      <c r="AX73" s="74"/>
      <c r="AY73" s="74"/>
      <c r="AZ73" s="74"/>
      <c r="BA73" s="74"/>
      <c r="BB73" s="74"/>
      <c r="BC73" s="74"/>
      <c r="BD73" s="74"/>
      <c r="BE73" s="74"/>
      <c r="BF73" s="74"/>
      <c r="BG73" s="74"/>
    </row>
    <row r="74" spans="2:59">
      <c r="B74" s="83">
        <v>69</v>
      </c>
      <c r="C74" s="263"/>
      <c r="D74" s="228" t="s">
        <v>890</v>
      </c>
      <c r="E74" s="228" t="s">
        <v>891</v>
      </c>
      <c r="F74" s="228" t="s">
        <v>6</v>
      </c>
      <c r="G74" s="228" t="s">
        <v>19</v>
      </c>
      <c r="H74" s="228" t="s">
        <v>26</v>
      </c>
      <c r="I74" s="228" t="s">
        <v>30</v>
      </c>
      <c r="J74" s="228" t="s">
        <v>36</v>
      </c>
      <c r="K74" s="229">
        <v>4</v>
      </c>
      <c r="L74" s="228" t="s">
        <v>36</v>
      </c>
      <c r="M74" s="229">
        <v>4</v>
      </c>
      <c r="N74" s="228" t="s">
        <v>36</v>
      </c>
      <c r="O74" s="229">
        <v>4</v>
      </c>
      <c r="P74" s="228" t="s">
        <v>36</v>
      </c>
      <c r="Q74" s="229">
        <v>4</v>
      </c>
      <c r="R74" s="229" t="s">
        <v>36</v>
      </c>
      <c r="S74" s="229">
        <v>4</v>
      </c>
      <c r="T74" s="229" t="s">
        <v>36</v>
      </c>
      <c r="U74" s="229">
        <v>4</v>
      </c>
      <c r="V74" s="229" t="s">
        <v>36</v>
      </c>
      <c r="W74" s="229">
        <v>4</v>
      </c>
      <c r="X74" s="229" t="s">
        <v>112</v>
      </c>
      <c r="Y74" s="229">
        <v>5</v>
      </c>
      <c r="Z74" s="229" t="s">
        <v>112</v>
      </c>
      <c r="AA74" s="229">
        <v>5</v>
      </c>
      <c r="AB74" s="233" t="s">
        <v>892</v>
      </c>
      <c r="AC74" s="79"/>
      <c r="AD74" s="79"/>
      <c r="AE74" s="79"/>
      <c r="AF74" s="79"/>
      <c r="AG74" s="79"/>
      <c r="AH74" s="79"/>
      <c r="AI74" s="80"/>
      <c r="AJ74" s="72"/>
      <c r="AK74" s="72"/>
      <c r="AL74" s="72"/>
      <c r="AM74" s="72"/>
      <c r="AN74" s="74"/>
      <c r="AO74" s="74"/>
      <c r="AP74" s="74"/>
      <c r="AQ74" s="74"/>
      <c r="AR74" s="74"/>
      <c r="AS74" s="74"/>
      <c r="AT74" s="74"/>
      <c r="AU74" s="74"/>
      <c r="AV74" s="74"/>
      <c r="AW74" s="74"/>
      <c r="AX74" s="74"/>
      <c r="AY74" s="74"/>
      <c r="AZ74" s="74"/>
      <c r="BA74" s="74"/>
      <c r="BB74" s="74"/>
      <c r="BC74" s="74"/>
      <c r="BD74" s="74"/>
      <c r="BE74" s="74"/>
      <c r="BF74" s="74"/>
      <c r="BG74" s="74"/>
    </row>
    <row r="75" spans="2:59">
      <c r="B75" s="83">
        <v>70</v>
      </c>
      <c r="C75" s="263"/>
      <c r="D75" s="228" t="s">
        <v>893</v>
      </c>
      <c r="E75" s="228" t="s">
        <v>894</v>
      </c>
      <c r="F75" s="228" t="s">
        <v>6</v>
      </c>
      <c r="G75" s="228" t="s">
        <v>9</v>
      </c>
      <c r="H75" s="228" t="s">
        <v>26</v>
      </c>
      <c r="I75" s="228" t="s">
        <v>28</v>
      </c>
      <c r="J75" s="228" t="s">
        <v>112</v>
      </c>
      <c r="K75" s="229">
        <v>5</v>
      </c>
      <c r="L75" s="228" t="s">
        <v>112</v>
      </c>
      <c r="M75" s="229">
        <v>5</v>
      </c>
      <c r="N75" s="228" t="s">
        <v>36</v>
      </c>
      <c r="O75" s="229">
        <v>4</v>
      </c>
      <c r="P75" s="228" t="s">
        <v>36</v>
      </c>
      <c r="Q75" s="229">
        <v>4</v>
      </c>
      <c r="R75" s="229" t="s">
        <v>36</v>
      </c>
      <c r="S75" s="229">
        <v>4</v>
      </c>
      <c r="T75" s="229" t="s">
        <v>36</v>
      </c>
      <c r="U75" s="229">
        <v>4</v>
      </c>
      <c r="V75" s="229" t="s">
        <v>36</v>
      </c>
      <c r="W75" s="229">
        <v>4</v>
      </c>
      <c r="X75" s="229" t="s">
        <v>36</v>
      </c>
      <c r="Y75" s="229">
        <v>4</v>
      </c>
      <c r="Z75" s="229" t="s">
        <v>36</v>
      </c>
      <c r="AA75" s="229">
        <v>4</v>
      </c>
      <c r="AB75" s="233"/>
      <c r="AC75" s="79"/>
      <c r="AD75" s="79"/>
      <c r="AE75" s="79"/>
      <c r="AF75" s="79"/>
      <c r="AG75" s="79"/>
      <c r="AH75" s="79"/>
      <c r="AI75" s="80"/>
      <c r="AJ75" s="72"/>
      <c r="AK75" s="72"/>
      <c r="AL75" s="72"/>
      <c r="AM75" s="72"/>
      <c r="AN75" s="74"/>
      <c r="AO75" s="74"/>
      <c r="AP75" s="74"/>
      <c r="AQ75" s="74"/>
      <c r="AR75" s="74"/>
      <c r="AS75" s="74"/>
      <c r="AT75" s="74"/>
      <c r="AU75" s="74"/>
      <c r="AV75" s="74"/>
      <c r="AW75" s="74"/>
      <c r="AX75" s="74"/>
      <c r="AY75" s="74"/>
      <c r="AZ75" s="74"/>
      <c r="BA75" s="74"/>
      <c r="BB75" s="74"/>
      <c r="BC75" s="74"/>
      <c r="BD75" s="74"/>
      <c r="BE75" s="74"/>
      <c r="BF75" s="74"/>
      <c r="BG75" s="74"/>
    </row>
    <row r="76" spans="2:59">
      <c r="B76" s="83">
        <v>71</v>
      </c>
      <c r="C76" s="252" t="s">
        <v>895</v>
      </c>
      <c r="D76" s="228" t="s">
        <v>896</v>
      </c>
      <c r="E76" s="228" t="s">
        <v>897</v>
      </c>
      <c r="F76" s="228" t="s">
        <v>6</v>
      </c>
      <c r="G76" s="228" t="s">
        <v>9</v>
      </c>
      <c r="H76" s="228" t="s">
        <v>26</v>
      </c>
      <c r="I76" s="228" t="s">
        <v>30</v>
      </c>
      <c r="J76" s="228" t="s">
        <v>112</v>
      </c>
      <c r="K76" s="229">
        <v>5</v>
      </c>
      <c r="L76" s="228" t="s">
        <v>112</v>
      </c>
      <c r="M76" s="229">
        <v>5</v>
      </c>
      <c r="N76" s="228" t="s">
        <v>112</v>
      </c>
      <c r="O76" s="229">
        <v>5</v>
      </c>
      <c r="P76" s="228" t="s">
        <v>112</v>
      </c>
      <c r="Q76" s="229">
        <v>5</v>
      </c>
      <c r="R76" s="229" t="s">
        <v>112</v>
      </c>
      <c r="S76" s="229">
        <v>5</v>
      </c>
      <c r="T76" s="229" t="s">
        <v>112</v>
      </c>
      <c r="U76" s="229">
        <v>5</v>
      </c>
      <c r="V76" s="229" t="s">
        <v>112</v>
      </c>
      <c r="W76" s="229">
        <v>5</v>
      </c>
      <c r="X76" s="229" t="s">
        <v>112</v>
      </c>
      <c r="Y76" s="229">
        <v>5</v>
      </c>
      <c r="Z76" s="229" t="s">
        <v>112</v>
      </c>
      <c r="AA76" s="229">
        <v>5</v>
      </c>
      <c r="AB76" s="233"/>
      <c r="AC76" s="79"/>
      <c r="AD76" s="79"/>
      <c r="AE76" s="79"/>
      <c r="AF76" s="79"/>
      <c r="AG76" s="79"/>
      <c r="AH76" s="79"/>
      <c r="AI76" s="80"/>
      <c r="AJ76" s="72"/>
      <c r="AK76" s="72"/>
      <c r="AL76" s="72"/>
      <c r="AM76" s="72"/>
      <c r="AN76" s="74"/>
      <c r="AO76" s="74"/>
      <c r="AP76" s="74"/>
      <c r="AQ76" s="74"/>
      <c r="AR76" s="74"/>
      <c r="AS76" s="74"/>
      <c r="AT76" s="74"/>
      <c r="AU76" s="74"/>
      <c r="AV76" s="74"/>
      <c r="AW76" s="74"/>
      <c r="AX76" s="74"/>
      <c r="AY76" s="74"/>
      <c r="AZ76" s="74"/>
      <c r="BA76" s="74"/>
      <c r="BB76" s="74"/>
      <c r="BC76" s="74"/>
      <c r="BD76" s="74"/>
      <c r="BE76" s="74"/>
      <c r="BF76" s="74"/>
      <c r="BG76" s="74"/>
    </row>
    <row r="77" spans="2:59">
      <c r="B77" s="83">
        <v>72</v>
      </c>
      <c r="C77" s="252"/>
      <c r="D77" s="228" t="s">
        <v>898</v>
      </c>
      <c r="E77" s="228" t="s">
        <v>899</v>
      </c>
      <c r="F77" s="228" t="s">
        <v>6</v>
      </c>
      <c r="G77" s="228" t="s">
        <v>9</v>
      </c>
      <c r="H77" s="228" t="s">
        <v>25</v>
      </c>
      <c r="I77" s="228" t="s">
        <v>32</v>
      </c>
      <c r="J77" s="228" t="s">
        <v>112</v>
      </c>
      <c r="K77" s="229">
        <v>5</v>
      </c>
      <c r="L77" s="228" t="s">
        <v>112</v>
      </c>
      <c r="M77" s="229">
        <v>5</v>
      </c>
      <c r="N77" s="228" t="s">
        <v>112</v>
      </c>
      <c r="O77" s="229">
        <v>5</v>
      </c>
      <c r="P77" s="228" t="s">
        <v>35</v>
      </c>
      <c r="Q77" s="229">
        <v>3</v>
      </c>
      <c r="R77" s="229" t="s">
        <v>36</v>
      </c>
      <c r="S77" s="229">
        <v>4</v>
      </c>
      <c r="T77" s="229" t="s">
        <v>112</v>
      </c>
      <c r="U77" s="229">
        <v>5</v>
      </c>
      <c r="V77" s="229" t="s">
        <v>112</v>
      </c>
      <c r="W77" s="229">
        <v>5</v>
      </c>
      <c r="X77" s="229" t="s">
        <v>36</v>
      </c>
      <c r="Y77" s="229">
        <v>4</v>
      </c>
      <c r="Z77" s="229" t="s">
        <v>36</v>
      </c>
      <c r="AA77" s="229">
        <v>4</v>
      </c>
      <c r="AB77" s="233"/>
      <c r="AC77" s="10"/>
      <c r="AD77" s="10"/>
      <c r="AE77" s="79"/>
      <c r="AF77" s="79"/>
      <c r="AG77" s="79"/>
      <c r="AH77" s="79"/>
      <c r="AI77" s="80"/>
      <c r="AJ77" s="72"/>
      <c r="AK77" s="72"/>
      <c r="AL77" s="72"/>
      <c r="AM77" s="72"/>
      <c r="AN77" s="74"/>
      <c r="AO77" s="74"/>
      <c r="AP77" s="74"/>
      <c r="AQ77" s="74"/>
      <c r="AR77" s="74"/>
      <c r="AS77" s="74"/>
      <c r="AT77" s="74"/>
      <c r="AU77" s="74"/>
      <c r="AV77" s="74"/>
      <c r="AW77" s="74"/>
      <c r="AX77" s="74"/>
      <c r="AY77" s="74"/>
      <c r="AZ77" s="74"/>
      <c r="BA77" s="74"/>
      <c r="BB77" s="74"/>
      <c r="BC77" s="74"/>
      <c r="BD77" s="74"/>
      <c r="BE77" s="74"/>
      <c r="BF77" s="74"/>
      <c r="BG77" s="74"/>
    </row>
    <row r="78" spans="2:59">
      <c r="B78" s="83">
        <v>73</v>
      </c>
      <c r="C78" s="252"/>
      <c r="D78" s="228" t="s">
        <v>900</v>
      </c>
      <c r="E78" s="228" t="s">
        <v>901</v>
      </c>
      <c r="F78" s="228" t="s">
        <v>6</v>
      </c>
      <c r="G78" s="228" t="s">
        <v>19</v>
      </c>
      <c r="H78" s="228" t="s">
        <v>26</v>
      </c>
      <c r="I78" s="228" t="s">
        <v>30</v>
      </c>
      <c r="J78" s="228" t="s">
        <v>36</v>
      </c>
      <c r="K78" s="229">
        <v>4</v>
      </c>
      <c r="L78" s="228" t="s">
        <v>36</v>
      </c>
      <c r="M78" s="229">
        <v>4</v>
      </c>
      <c r="N78" s="228" t="s">
        <v>36</v>
      </c>
      <c r="O78" s="229">
        <v>4</v>
      </c>
      <c r="P78" s="228" t="s">
        <v>36</v>
      </c>
      <c r="Q78" s="229">
        <v>4</v>
      </c>
      <c r="R78" s="229" t="s">
        <v>36</v>
      </c>
      <c r="S78" s="229">
        <v>4</v>
      </c>
      <c r="T78" s="229" t="s">
        <v>36</v>
      </c>
      <c r="U78" s="229">
        <v>4</v>
      </c>
      <c r="V78" s="229" t="s">
        <v>35</v>
      </c>
      <c r="W78" s="229">
        <v>3</v>
      </c>
      <c r="X78" s="229" t="s">
        <v>35</v>
      </c>
      <c r="Y78" s="229">
        <v>3</v>
      </c>
      <c r="Z78" s="229" t="s">
        <v>36</v>
      </c>
      <c r="AA78" s="229">
        <v>4</v>
      </c>
      <c r="AB78" s="233" t="s">
        <v>902</v>
      </c>
      <c r="AC78" s="10"/>
      <c r="AD78" s="10"/>
      <c r="AE78" s="79"/>
      <c r="AF78" s="79"/>
      <c r="AG78" s="79"/>
      <c r="AH78" s="79"/>
      <c r="AI78" s="80"/>
      <c r="AJ78" s="72"/>
      <c r="AK78" s="72"/>
      <c r="AL78" s="72"/>
      <c r="AM78" s="72"/>
      <c r="AN78" s="74"/>
      <c r="AO78" s="74"/>
      <c r="AP78" s="74"/>
      <c r="AQ78" s="74"/>
      <c r="AR78" s="74"/>
      <c r="AS78" s="74"/>
      <c r="AT78" s="74"/>
      <c r="AU78" s="74"/>
      <c r="AV78" s="74"/>
      <c r="AW78" s="74"/>
      <c r="AX78" s="74"/>
      <c r="AY78" s="74"/>
      <c r="AZ78" s="74"/>
      <c r="BA78" s="74"/>
      <c r="BB78" s="74"/>
      <c r="BC78" s="74"/>
      <c r="BD78" s="74"/>
      <c r="BE78" s="74"/>
      <c r="BF78" s="74"/>
      <c r="BG78" s="74"/>
    </row>
    <row r="79" spans="2:59">
      <c r="B79" s="83">
        <v>74</v>
      </c>
      <c r="C79" s="252"/>
      <c r="D79" s="228" t="s">
        <v>903</v>
      </c>
      <c r="E79" s="228" t="s">
        <v>904</v>
      </c>
      <c r="F79" s="228" t="s">
        <v>6</v>
      </c>
      <c r="G79" s="228" t="s">
        <v>17</v>
      </c>
      <c r="H79" s="228" t="s">
        <v>113</v>
      </c>
      <c r="I79" s="228" t="s">
        <v>32</v>
      </c>
      <c r="J79" s="228" t="s">
        <v>112</v>
      </c>
      <c r="K79" s="229">
        <v>5</v>
      </c>
      <c r="L79" s="228" t="s">
        <v>112</v>
      </c>
      <c r="M79" s="229">
        <v>5</v>
      </c>
      <c r="N79" s="228" t="s">
        <v>112</v>
      </c>
      <c r="O79" s="229">
        <v>5</v>
      </c>
      <c r="P79" s="228" t="s">
        <v>112</v>
      </c>
      <c r="Q79" s="229">
        <v>5</v>
      </c>
      <c r="R79" s="229" t="s">
        <v>112</v>
      </c>
      <c r="S79" s="229">
        <v>5</v>
      </c>
      <c r="T79" s="229" t="s">
        <v>36</v>
      </c>
      <c r="U79" s="229">
        <v>4</v>
      </c>
      <c r="V79" s="229" t="s">
        <v>36</v>
      </c>
      <c r="W79" s="229">
        <v>4</v>
      </c>
      <c r="X79" s="229" t="s">
        <v>36</v>
      </c>
      <c r="Y79" s="229">
        <v>4</v>
      </c>
      <c r="Z79" s="229" t="s">
        <v>36</v>
      </c>
      <c r="AA79" s="229">
        <v>4</v>
      </c>
      <c r="AB79" s="233" t="s">
        <v>905</v>
      </c>
      <c r="AC79" s="10"/>
      <c r="AD79" s="10"/>
      <c r="AE79" s="79"/>
      <c r="AF79" s="79"/>
      <c r="AG79" s="79"/>
      <c r="AH79" s="79"/>
      <c r="AI79" s="80"/>
      <c r="AJ79" s="72"/>
      <c r="AK79" s="72"/>
      <c r="AL79" s="72"/>
      <c r="AM79" s="72"/>
      <c r="AN79" s="74"/>
      <c r="AO79" s="74"/>
      <c r="AP79" s="74"/>
      <c r="AQ79" s="74"/>
      <c r="AR79" s="74"/>
      <c r="AS79" s="74"/>
      <c r="AT79" s="74"/>
      <c r="AU79" s="74"/>
      <c r="AV79" s="74"/>
      <c r="AW79" s="74"/>
      <c r="AX79" s="74"/>
      <c r="AY79" s="74"/>
      <c r="AZ79" s="74"/>
      <c r="BA79" s="74"/>
      <c r="BB79" s="74"/>
      <c r="BC79" s="74"/>
      <c r="BD79" s="74"/>
      <c r="BE79" s="74"/>
      <c r="BF79" s="74"/>
      <c r="BG79" s="74"/>
    </row>
    <row r="80" spans="2:59">
      <c r="B80" s="83">
        <v>75</v>
      </c>
      <c r="C80" s="252"/>
      <c r="D80" s="228" t="s">
        <v>906</v>
      </c>
      <c r="E80" s="228" t="s">
        <v>907</v>
      </c>
      <c r="F80" s="228" t="s">
        <v>5</v>
      </c>
      <c r="G80" s="228" t="s">
        <v>9</v>
      </c>
      <c r="H80" s="228" t="s">
        <v>113</v>
      </c>
      <c r="I80" s="228" t="s">
        <v>32</v>
      </c>
      <c r="J80" s="228" t="s">
        <v>112</v>
      </c>
      <c r="K80" s="229">
        <v>5</v>
      </c>
      <c r="L80" s="228" t="s">
        <v>112</v>
      </c>
      <c r="M80" s="229">
        <v>5</v>
      </c>
      <c r="N80" s="228" t="s">
        <v>112</v>
      </c>
      <c r="O80" s="229">
        <v>5</v>
      </c>
      <c r="P80" s="228" t="s">
        <v>35</v>
      </c>
      <c r="Q80" s="229">
        <v>3</v>
      </c>
      <c r="R80" s="229" t="s">
        <v>112</v>
      </c>
      <c r="S80" s="229">
        <v>5</v>
      </c>
      <c r="T80" s="229" t="s">
        <v>112</v>
      </c>
      <c r="U80" s="229">
        <v>5</v>
      </c>
      <c r="V80" s="229" t="s">
        <v>36</v>
      </c>
      <c r="W80" s="229">
        <v>4</v>
      </c>
      <c r="X80" s="229" t="s">
        <v>112</v>
      </c>
      <c r="Y80" s="229">
        <v>5</v>
      </c>
      <c r="Z80" s="229" t="s">
        <v>36</v>
      </c>
      <c r="AA80" s="229">
        <v>4</v>
      </c>
      <c r="AB80" s="233" t="s">
        <v>908</v>
      </c>
      <c r="AC80" s="10"/>
      <c r="AD80" s="10"/>
      <c r="AE80" s="72"/>
      <c r="AF80" s="72"/>
      <c r="AG80" s="72"/>
      <c r="AH80" s="72"/>
      <c r="AI80" s="73"/>
      <c r="AJ80" s="72"/>
      <c r="AK80" s="72"/>
      <c r="AL80" s="72"/>
      <c r="AM80" s="72"/>
      <c r="AN80" s="74"/>
      <c r="AO80" s="74"/>
      <c r="AP80" s="74"/>
      <c r="AQ80" s="74"/>
      <c r="AR80" s="74"/>
      <c r="AS80" s="74"/>
      <c r="AT80" s="74"/>
      <c r="AU80" s="74"/>
      <c r="AV80" s="74"/>
      <c r="AW80" s="74"/>
      <c r="AX80" s="74"/>
      <c r="AY80" s="74"/>
      <c r="AZ80" s="74"/>
      <c r="BA80" s="74"/>
      <c r="BB80" s="74"/>
      <c r="BC80" s="74"/>
      <c r="BD80" s="74"/>
      <c r="BE80" s="74"/>
      <c r="BF80" s="74"/>
      <c r="BG80" s="74"/>
    </row>
    <row r="81" spans="2:59">
      <c r="B81" s="83">
        <v>76</v>
      </c>
      <c r="C81" s="252"/>
      <c r="D81" s="228" t="s">
        <v>909</v>
      </c>
      <c r="E81" s="228" t="s">
        <v>910</v>
      </c>
      <c r="F81" s="228" t="s">
        <v>6</v>
      </c>
      <c r="G81" s="228" t="s">
        <v>9</v>
      </c>
      <c r="H81" s="228" t="s">
        <v>25</v>
      </c>
      <c r="I81" s="228" t="s">
        <v>30</v>
      </c>
      <c r="J81" s="228" t="s">
        <v>112</v>
      </c>
      <c r="K81" s="229">
        <v>5</v>
      </c>
      <c r="L81" s="228" t="s">
        <v>112</v>
      </c>
      <c r="M81" s="229">
        <v>5</v>
      </c>
      <c r="N81" s="228" t="s">
        <v>112</v>
      </c>
      <c r="O81" s="229">
        <v>5</v>
      </c>
      <c r="P81" s="228" t="s">
        <v>36</v>
      </c>
      <c r="Q81" s="229">
        <v>4</v>
      </c>
      <c r="R81" s="229" t="s">
        <v>112</v>
      </c>
      <c r="S81" s="229">
        <v>5</v>
      </c>
      <c r="T81" s="229" t="s">
        <v>112</v>
      </c>
      <c r="U81" s="229">
        <v>5</v>
      </c>
      <c r="V81" s="229" t="s">
        <v>112</v>
      </c>
      <c r="W81" s="229">
        <v>5</v>
      </c>
      <c r="X81" s="229" t="s">
        <v>112</v>
      </c>
      <c r="Y81" s="229">
        <v>5</v>
      </c>
      <c r="Z81" s="229" t="s">
        <v>36</v>
      </c>
      <c r="AA81" s="229">
        <v>4</v>
      </c>
      <c r="AB81" s="233"/>
      <c r="AC81" s="10"/>
      <c r="AD81" s="10"/>
      <c r="AE81" s="72"/>
      <c r="AF81" s="72"/>
      <c r="AG81" s="72"/>
      <c r="AH81" s="72"/>
      <c r="AI81" s="73"/>
      <c r="AJ81" s="72"/>
      <c r="AK81" s="72"/>
      <c r="AL81" s="72"/>
      <c r="AM81" s="72"/>
      <c r="AN81" s="74"/>
      <c r="AO81" s="74"/>
      <c r="AP81" s="74"/>
      <c r="AQ81" s="74"/>
      <c r="AR81" s="74"/>
      <c r="AS81" s="74"/>
      <c r="AT81" s="74"/>
      <c r="AU81" s="74"/>
      <c r="AV81" s="74"/>
      <c r="AW81" s="74"/>
      <c r="AX81" s="74"/>
      <c r="AY81" s="74"/>
      <c r="AZ81" s="74"/>
      <c r="BA81" s="74"/>
      <c r="BB81" s="74"/>
      <c r="BC81" s="74"/>
      <c r="BD81" s="74"/>
      <c r="BE81" s="74"/>
      <c r="BF81" s="74"/>
      <c r="BG81" s="74"/>
    </row>
    <row r="82" spans="2:59">
      <c r="B82" s="83">
        <v>77</v>
      </c>
      <c r="C82" s="252"/>
      <c r="D82" s="228" t="s">
        <v>911</v>
      </c>
      <c r="E82" s="228" t="s">
        <v>912</v>
      </c>
      <c r="F82" s="228" t="s">
        <v>5</v>
      </c>
      <c r="G82" s="228" t="s">
        <v>18</v>
      </c>
      <c r="H82" s="228" t="s">
        <v>113</v>
      </c>
      <c r="I82" s="228" t="s">
        <v>32</v>
      </c>
      <c r="J82" s="228" t="s">
        <v>112</v>
      </c>
      <c r="K82" s="229">
        <v>5</v>
      </c>
      <c r="L82" s="228" t="s">
        <v>112</v>
      </c>
      <c r="M82" s="229">
        <v>5</v>
      </c>
      <c r="N82" s="228" t="s">
        <v>112</v>
      </c>
      <c r="O82" s="229">
        <v>5</v>
      </c>
      <c r="P82" s="228" t="s">
        <v>112</v>
      </c>
      <c r="Q82" s="229">
        <v>5</v>
      </c>
      <c r="R82" s="229" t="s">
        <v>36</v>
      </c>
      <c r="S82" s="229">
        <v>4</v>
      </c>
      <c r="T82" s="229" t="s">
        <v>112</v>
      </c>
      <c r="U82" s="229">
        <v>5</v>
      </c>
      <c r="V82" s="229" t="s">
        <v>35</v>
      </c>
      <c r="W82" s="229">
        <v>3</v>
      </c>
      <c r="X82" s="229" t="s">
        <v>36</v>
      </c>
      <c r="Y82" s="229">
        <v>4</v>
      </c>
      <c r="Z82" s="229" t="s">
        <v>36</v>
      </c>
      <c r="AA82" s="229">
        <v>4</v>
      </c>
      <c r="AB82" s="233"/>
      <c r="AC82" s="10"/>
      <c r="AD82" s="10"/>
      <c r="AE82" s="72"/>
      <c r="AF82" s="72"/>
      <c r="AG82" s="72"/>
      <c r="AH82" s="72"/>
      <c r="AI82" s="73"/>
      <c r="AJ82" s="72"/>
      <c r="AK82" s="72"/>
      <c r="AL82" s="72"/>
      <c r="AM82" s="72"/>
      <c r="AN82" s="74"/>
      <c r="AO82" s="74"/>
      <c r="AP82" s="74"/>
      <c r="AQ82" s="74"/>
      <c r="AR82" s="74"/>
      <c r="AS82" s="74"/>
      <c r="AT82" s="74"/>
      <c r="AU82" s="74"/>
      <c r="AV82" s="74"/>
      <c r="AW82" s="74"/>
      <c r="AX82" s="74"/>
      <c r="AY82" s="74"/>
      <c r="AZ82" s="74"/>
      <c r="BA82" s="74"/>
      <c r="BB82" s="74"/>
      <c r="BC82" s="74"/>
      <c r="BD82" s="74"/>
      <c r="BE82" s="74"/>
      <c r="BF82" s="74"/>
      <c r="BG82" s="74"/>
    </row>
    <row r="83" spans="2:59">
      <c r="B83" s="83">
        <v>78</v>
      </c>
      <c r="C83" s="252"/>
      <c r="D83" s="228" t="s">
        <v>913</v>
      </c>
      <c r="E83" s="228" t="s">
        <v>914</v>
      </c>
      <c r="F83" s="228" t="s">
        <v>6</v>
      </c>
      <c r="G83" s="228" t="s">
        <v>9</v>
      </c>
      <c r="H83" s="228" t="s">
        <v>26</v>
      </c>
      <c r="I83" s="228" t="s">
        <v>30</v>
      </c>
      <c r="J83" s="228" t="s">
        <v>112</v>
      </c>
      <c r="K83" s="229">
        <v>5</v>
      </c>
      <c r="L83" s="228" t="s">
        <v>112</v>
      </c>
      <c r="M83" s="229">
        <v>5</v>
      </c>
      <c r="N83" s="228" t="s">
        <v>112</v>
      </c>
      <c r="O83" s="229">
        <v>5</v>
      </c>
      <c r="P83" s="228" t="s">
        <v>36</v>
      </c>
      <c r="Q83" s="229">
        <v>4</v>
      </c>
      <c r="R83" s="229" t="s">
        <v>36</v>
      </c>
      <c r="S83" s="229">
        <v>4</v>
      </c>
      <c r="T83" s="229" t="s">
        <v>36</v>
      </c>
      <c r="U83" s="229">
        <v>4</v>
      </c>
      <c r="V83" s="229" t="s">
        <v>36</v>
      </c>
      <c r="W83" s="229">
        <v>4</v>
      </c>
      <c r="X83" s="229" t="s">
        <v>36</v>
      </c>
      <c r="Y83" s="229">
        <v>4</v>
      </c>
      <c r="Z83" s="229" t="s">
        <v>36</v>
      </c>
      <c r="AA83" s="229">
        <v>4</v>
      </c>
      <c r="AB83" s="233"/>
      <c r="AC83" s="10"/>
      <c r="AD83" s="10"/>
      <c r="AE83" s="72"/>
      <c r="AF83" s="72"/>
      <c r="AG83" s="72"/>
      <c r="AH83" s="72"/>
      <c r="AI83" s="73"/>
      <c r="AJ83" s="72"/>
      <c r="AK83" s="72"/>
      <c r="AL83" s="72"/>
      <c r="AM83" s="72"/>
      <c r="AN83" s="74"/>
      <c r="AO83" s="74"/>
      <c r="AP83" s="74"/>
      <c r="AQ83" s="74"/>
      <c r="AR83" s="74"/>
      <c r="AS83" s="74"/>
      <c r="AT83" s="74"/>
      <c r="AU83" s="74"/>
      <c r="AV83" s="74"/>
      <c r="AW83" s="74"/>
      <c r="AX83" s="74"/>
      <c r="AY83" s="74"/>
      <c r="AZ83" s="74"/>
      <c r="BA83" s="74"/>
      <c r="BB83" s="74"/>
      <c r="BC83" s="74"/>
      <c r="BD83" s="74"/>
      <c r="BE83" s="74"/>
      <c r="BF83" s="74"/>
      <c r="BG83" s="74"/>
    </row>
    <row r="84" spans="2:59">
      <c r="B84" s="83">
        <v>79</v>
      </c>
      <c r="C84" s="252"/>
      <c r="D84" s="228" t="s">
        <v>915</v>
      </c>
      <c r="E84" s="228" t="s">
        <v>916</v>
      </c>
      <c r="F84" s="228" t="s">
        <v>6</v>
      </c>
      <c r="G84" s="228" t="s">
        <v>11</v>
      </c>
      <c r="H84" s="228" t="s">
        <v>26</v>
      </c>
      <c r="I84" s="228" t="s">
        <v>30</v>
      </c>
      <c r="J84" s="228" t="s">
        <v>112</v>
      </c>
      <c r="K84" s="229">
        <v>5</v>
      </c>
      <c r="L84" s="228" t="s">
        <v>112</v>
      </c>
      <c r="M84" s="229">
        <v>5</v>
      </c>
      <c r="N84" s="228" t="s">
        <v>112</v>
      </c>
      <c r="O84" s="229">
        <v>5</v>
      </c>
      <c r="P84" s="228" t="s">
        <v>112</v>
      </c>
      <c r="Q84" s="229">
        <v>5</v>
      </c>
      <c r="R84" s="229" t="s">
        <v>112</v>
      </c>
      <c r="S84" s="229">
        <v>5</v>
      </c>
      <c r="T84" s="229" t="s">
        <v>112</v>
      </c>
      <c r="U84" s="229">
        <v>5</v>
      </c>
      <c r="V84" s="229" t="s">
        <v>112</v>
      </c>
      <c r="W84" s="229">
        <v>5</v>
      </c>
      <c r="X84" s="229" t="s">
        <v>112</v>
      </c>
      <c r="Y84" s="229">
        <v>5</v>
      </c>
      <c r="Z84" s="229" t="s">
        <v>112</v>
      </c>
      <c r="AA84" s="229">
        <v>5</v>
      </c>
      <c r="AB84" s="233"/>
      <c r="AC84" s="10"/>
      <c r="AD84" s="72"/>
      <c r="AE84" s="72"/>
      <c r="AF84" s="72"/>
      <c r="AG84" s="72"/>
      <c r="AH84" s="72"/>
      <c r="AI84" s="73"/>
      <c r="AJ84" s="72"/>
      <c r="AK84" s="72"/>
      <c r="AL84" s="72"/>
      <c r="AM84" s="72"/>
      <c r="AN84" s="74"/>
      <c r="AO84" s="74"/>
      <c r="AP84" s="74"/>
      <c r="AQ84" s="74"/>
      <c r="AR84" s="74"/>
      <c r="AS84" s="74"/>
      <c r="AT84" s="74"/>
      <c r="AU84" s="74"/>
      <c r="AV84" s="74"/>
      <c r="AW84" s="74"/>
      <c r="AX84" s="74"/>
      <c r="AY84" s="74"/>
      <c r="AZ84" s="74"/>
      <c r="BA84" s="74"/>
      <c r="BB84" s="74"/>
      <c r="BC84" s="74"/>
      <c r="BD84" s="74"/>
      <c r="BE84" s="74"/>
      <c r="BF84" s="74"/>
      <c r="BG84" s="74"/>
    </row>
    <row r="85" spans="2:59" ht="16.5" customHeight="1">
      <c r="B85" s="83">
        <v>80</v>
      </c>
      <c r="C85" s="252" t="s">
        <v>951</v>
      </c>
      <c r="D85" s="228" t="s">
        <v>917</v>
      </c>
      <c r="E85" s="228" t="s">
        <v>918</v>
      </c>
      <c r="F85" s="228" t="s">
        <v>6</v>
      </c>
      <c r="G85" s="228" t="s">
        <v>9</v>
      </c>
      <c r="H85" s="228" t="s">
        <v>26</v>
      </c>
      <c r="I85" s="228" t="s">
        <v>30</v>
      </c>
      <c r="J85" s="228" t="s">
        <v>112</v>
      </c>
      <c r="K85" s="229">
        <v>5</v>
      </c>
      <c r="L85" s="228" t="s">
        <v>112</v>
      </c>
      <c r="M85" s="229">
        <v>5</v>
      </c>
      <c r="N85" s="228" t="s">
        <v>36</v>
      </c>
      <c r="O85" s="229">
        <v>4</v>
      </c>
      <c r="P85" s="228" t="s">
        <v>112</v>
      </c>
      <c r="Q85" s="229">
        <v>5</v>
      </c>
      <c r="R85" s="229" t="s">
        <v>36</v>
      </c>
      <c r="S85" s="229">
        <v>4</v>
      </c>
      <c r="T85" s="229" t="s">
        <v>112</v>
      </c>
      <c r="U85" s="229">
        <v>5</v>
      </c>
      <c r="V85" s="229" t="s">
        <v>36</v>
      </c>
      <c r="W85" s="229">
        <v>4</v>
      </c>
      <c r="X85" s="229" t="s">
        <v>112</v>
      </c>
      <c r="Y85" s="229">
        <v>5</v>
      </c>
      <c r="Z85" s="229" t="s">
        <v>112</v>
      </c>
      <c r="AA85" s="229">
        <v>5</v>
      </c>
      <c r="AB85" s="233"/>
      <c r="AC85" s="10"/>
      <c r="AD85" s="72"/>
      <c r="AE85" s="72"/>
      <c r="AF85" s="72"/>
      <c r="AG85" s="72"/>
      <c r="AH85" s="72"/>
      <c r="AI85" s="73"/>
      <c r="AJ85" s="72"/>
      <c r="AK85" s="72"/>
      <c r="AL85" s="72"/>
      <c r="AM85" s="72"/>
      <c r="AN85" s="74"/>
      <c r="AO85" s="74"/>
      <c r="AP85" s="74"/>
      <c r="AQ85" s="74"/>
      <c r="AR85" s="74"/>
      <c r="AS85" s="74"/>
      <c r="AT85" s="74"/>
      <c r="AU85" s="74"/>
      <c r="AV85" s="74"/>
      <c r="AW85" s="74"/>
      <c r="AX85" s="74"/>
      <c r="AY85" s="74"/>
      <c r="AZ85" s="74"/>
      <c r="BA85" s="74"/>
      <c r="BB85" s="74"/>
      <c r="BC85" s="74"/>
      <c r="BD85" s="74"/>
      <c r="BE85" s="74"/>
      <c r="BF85" s="74"/>
      <c r="BG85" s="74"/>
    </row>
    <row r="86" spans="2:59">
      <c r="B86" s="83">
        <v>81</v>
      </c>
      <c r="C86" s="252"/>
      <c r="D86" s="228" t="s">
        <v>919</v>
      </c>
      <c r="E86" s="228" t="s">
        <v>920</v>
      </c>
      <c r="F86" s="228" t="s">
        <v>6</v>
      </c>
      <c r="G86" s="228" t="s">
        <v>9</v>
      </c>
      <c r="H86" s="228" t="s">
        <v>26</v>
      </c>
      <c r="I86" s="228" t="s">
        <v>30</v>
      </c>
      <c r="J86" s="228" t="s">
        <v>112</v>
      </c>
      <c r="K86" s="229">
        <v>5</v>
      </c>
      <c r="L86" s="228" t="s">
        <v>36</v>
      </c>
      <c r="M86" s="229">
        <v>4</v>
      </c>
      <c r="N86" s="228" t="s">
        <v>36</v>
      </c>
      <c r="O86" s="229">
        <v>4</v>
      </c>
      <c r="P86" s="228" t="s">
        <v>36</v>
      </c>
      <c r="Q86" s="229">
        <v>4</v>
      </c>
      <c r="R86" s="229" t="s">
        <v>36</v>
      </c>
      <c r="S86" s="229">
        <v>4</v>
      </c>
      <c r="T86" s="229" t="s">
        <v>36</v>
      </c>
      <c r="U86" s="229">
        <v>4</v>
      </c>
      <c r="V86" s="229" t="s">
        <v>36</v>
      </c>
      <c r="W86" s="229">
        <v>4</v>
      </c>
      <c r="X86" s="229" t="s">
        <v>36</v>
      </c>
      <c r="Y86" s="229">
        <v>4</v>
      </c>
      <c r="Z86" s="229" t="s">
        <v>36</v>
      </c>
      <c r="AA86" s="229">
        <v>4</v>
      </c>
      <c r="AB86" s="233" t="s">
        <v>921</v>
      </c>
      <c r="AC86" s="10"/>
      <c r="AD86" s="72"/>
      <c r="AE86" s="72"/>
      <c r="AF86" s="72"/>
      <c r="AG86" s="72"/>
      <c r="AH86" s="72"/>
      <c r="AI86" s="73"/>
      <c r="AJ86" s="72"/>
      <c r="AK86" s="72"/>
      <c r="AL86" s="72"/>
      <c r="AM86" s="72"/>
      <c r="AN86" s="74"/>
      <c r="AO86" s="74"/>
      <c r="AP86" s="74"/>
      <c r="AQ86" s="74"/>
      <c r="AR86" s="74"/>
      <c r="AS86" s="74"/>
      <c r="AT86" s="74"/>
      <c r="AU86" s="74"/>
      <c r="AV86" s="74"/>
      <c r="AW86" s="74"/>
      <c r="AX86" s="74"/>
      <c r="AY86" s="74"/>
      <c r="AZ86" s="74"/>
      <c r="BA86" s="74"/>
      <c r="BB86" s="74"/>
      <c r="BC86" s="74"/>
      <c r="BD86" s="74"/>
      <c r="BE86" s="74"/>
      <c r="BF86" s="74"/>
      <c r="BG86" s="74"/>
    </row>
    <row r="87" spans="2:59">
      <c r="B87" s="83">
        <v>82</v>
      </c>
      <c r="C87" s="252"/>
      <c r="D87" s="228" t="s">
        <v>922</v>
      </c>
      <c r="E87" s="228" t="s">
        <v>923</v>
      </c>
      <c r="F87" s="228" t="s">
        <v>6</v>
      </c>
      <c r="G87" s="228" t="s">
        <v>18</v>
      </c>
      <c r="H87" s="228" t="s">
        <v>113</v>
      </c>
      <c r="I87" s="228" t="s">
        <v>30</v>
      </c>
      <c r="J87" s="228" t="s">
        <v>112</v>
      </c>
      <c r="K87" s="229">
        <v>5</v>
      </c>
      <c r="L87" s="228" t="s">
        <v>112</v>
      </c>
      <c r="M87" s="229">
        <v>5</v>
      </c>
      <c r="N87" s="228" t="s">
        <v>112</v>
      </c>
      <c r="O87" s="229">
        <v>5</v>
      </c>
      <c r="P87" s="228" t="s">
        <v>36</v>
      </c>
      <c r="Q87" s="229">
        <v>4</v>
      </c>
      <c r="R87" s="229" t="s">
        <v>36</v>
      </c>
      <c r="S87" s="229">
        <v>4</v>
      </c>
      <c r="T87" s="229" t="s">
        <v>112</v>
      </c>
      <c r="U87" s="229">
        <v>5</v>
      </c>
      <c r="V87" s="229" t="s">
        <v>36</v>
      </c>
      <c r="W87" s="229">
        <v>4</v>
      </c>
      <c r="X87" s="229" t="s">
        <v>36</v>
      </c>
      <c r="Y87" s="229">
        <v>4</v>
      </c>
      <c r="Z87" s="229" t="s">
        <v>112</v>
      </c>
      <c r="AA87" s="229">
        <v>5</v>
      </c>
      <c r="AB87" s="233" t="s">
        <v>924</v>
      </c>
      <c r="AC87" s="10"/>
      <c r="AD87" s="72"/>
      <c r="AE87" s="72"/>
      <c r="AF87" s="72"/>
      <c r="AG87" s="72"/>
      <c r="AH87" s="72"/>
      <c r="AI87" s="73"/>
      <c r="AJ87" s="72"/>
      <c r="AK87" s="72"/>
      <c r="AL87" s="72"/>
      <c r="AM87" s="72"/>
      <c r="AN87" s="74"/>
      <c r="AO87" s="74"/>
      <c r="AP87" s="74"/>
      <c r="AQ87" s="74"/>
      <c r="AR87" s="74"/>
      <c r="AS87" s="74"/>
      <c r="AT87" s="74"/>
      <c r="AU87" s="74"/>
      <c r="AV87" s="74"/>
      <c r="AW87" s="74"/>
      <c r="AX87" s="74"/>
      <c r="AY87" s="74"/>
      <c r="AZ87" s="74"/>
      <c r="BA87" s="74"/>
      <c r="BB87" s="74"/>
      <c r="BC87" s="74"/>
      <c r="BD87" s="74"/>
      <c r="BE87" s="74"/>
      <c r="BF87" s="74"/>
      <c r="BG87" s="74"/>
    </row>
    <row r="88" spans="2:59">
      <c r="B88" s="83">
        <v>83</v>
      </c>
      <c r="C88" s="252"/>
      <c r="D88" s="228" t="s">
        <v>925</v>
      </c>
      <c r="E88" s="228" t="s">
        <v>926</v>
      </c>
      <c r="F88" s="228" t="s">
        <v>6</v>
      </c>
      <c r="G88" s="228" t="s">
        <v>9</v>
      </c>
      <c r="H88" s="228" t="s">
        <v>26</v>
      </c>
      <c r="I88" s="228" t="s">
        <v>28</v>
      </c>
      <c r="J88" s="228" t="s">
        <v>112</v>
      </c>
      <c r="K88" s="229">
        <v>5</v>
      </c>
      <c r="L88" s="228" t="s">
        <v>112</v>
      </c>
      <c r="M88" s="229">
        <v>5</v>
      </c>
      <c r="N88" s="228" t="s">
        <v>112</v>
      </c>
      <c r="O88" s="229">
        <v>5</v>
      </c>
      <c r="P88" s="228" t="s">
        <v>112</v>
      </c>
      <c r="Q88" s="229">
        <v>5</v>
      </c>
      <c r="R88" s="229" t="s">
        <v>112</v>
      </c>
      <c r="S88" s="229">
        <v>5</v>
      </c>
      <c r="T88" s="229" t="s">
        <v>112</v>
      </c>
      <c r="U88" s="229">
        <v>5</v>
      </c>
      <c r="V88" s="229" t="s">
        <v>112</v>
      </c>
      <c r="W88" s="229">
        <v>5</v>
      </c>
      <c r="X88" s="229" t="s">
        <v>112</v>
      </c>
      <c r="Y88" s="229">
        <v>5</v>
      </c>
      <c r="Z88" s="229" t="s">
        <v>112</v>
      </c>
      <c r="AA88" s="229">
        <v>5</v>
      </c>
      <c r="AB88" s="233" t="s">
        <v>927</v>
      </c>
      <c r="AC88" s="10"/>
      <c r="AD88" s="72"/>
      <c r="AE88" s="72"/>
      <c r="AF88" s="72"/>
      <c r="AG88" s="72"/>
      <c r="AH88" s="72"/>
      <c r="AI88" s="73"/>
      <c r="AJ88" s="72"/>
      <c r="AK88" s="72"/>
      <c r="AL88" s="72"/>
      <c r="AM88" s="72"/>
      <c r="AN88" s="74"/>
      <c r="AO88" s="74"/>
      <c r="AP88" s="74"/>
      <c r="AQ88" s="74"/>
      <c r="AR88" s="74"/>
      <c r="AS88" s="74"/>
      <c r="AT88" s="74"/>
      <c r="AU88" s="74"/>
      <c r="AV88" s="74"/>
      <c r="AW88" s="74"/>
      <c r="AX88" s="74"/>
      <c r="AY88" s="74"/>
      <c r="AZ88" s="74"/>
      <c r="BA88" s="74"/>
      <c r="BB88" s="74"/>
      <c r="BC88" s="74"/>
      <c r="BD88" s="74"/>
      <c r="BE88" s="74"/>
      <c r="BF88" s="74"/>
      <c r="BG88" s="74"/>
    </row>
    <row r="89" spans="2:59">
      <c r="B89" s="83">
        <v>84</v>
      </c>
      <c r="C89" s="252"/>
      <c r="D89" s="228" t="s">
        <v>928</v>
      </c>
      <c r="E89" s="228" t="s">
        <v>929</v>
      </c>
      <c r="F89" s="228" t="s">
        <v>6</v>
      </c>
      <c r="G89" s="228" t="s">
        <v>9</v>
      </c>
      <c r="H89" s="228" t="s">
        <v>26</v>
      </c>
      <c r="I89" s="228" t="s">
        <v>30</v>
      </c>
      <c r="J89" s="228" t="s">
        <v>112</v>
      </c>
      <c r="K89" s="229">
        <v>5</v>
      </c>
      <c r="L89" s="228" t="s">
        <v>112</v>
      </c>
      <c r="M89" s="229">
        <v>5</v>
      </c>
      <c r="N89" s="228" t="s">
        <v>36</v>
      </c>
      <c r="O89" s="229">
        <v>4</v>
      </c>
      <c r="P89" s="228" t="s">
        <v>36</v>
      </c>
      <c r="Q89" s="229">
        <v>4</v>
      </c>
      <c r="R89" s="229" t="s">
        <v>36</v>
      </c>
      <c r="S89" s="229">
        <v>4</v>
      </c>
      <c r="T89" s="229" t="s">
        <v>36</v>
      </c>
      <c r="U89" s="229">
        <v>4</v>
      </c>
      <c r="V89" s="229" t="s">
        <v>36</v>
      </c>
      <c r="W89" s="229">
        <v>4</v>
      </c>
      <c r="X89" s="229" t="s">
        <v>36</v>
      </c>
      <c r="Y89" s="229">
        <v>4</v>
      </c>
      <c r="Z89" s="229" t="s">
        <v>36</v>
      </c>
      <c r="AA89" s="229">
        <v>4</v>
      </c>
      <c r="AB89" s="233" t="s">
        <v>930</v>
      </c>
      <c r="AC89" s="10"/>
      <c r="AD89" s="72"/>
      <c r="AE89" s="72"/>
      <c r="AF89" s="72"/>
      <c r="AG89" s="72"/>
      <c r="AH89" s="72"/>
      <c r="AI89" s="73"/>
      <c r="AJ89" s="72"/>
      <c r="AK89" s="72"/>
      <c r="AL89" s="72"/>
      <c r="AM89" s="72"/>
      <c r="AN89" s="74"/>
      <c r="AO89" s="74"/>
      <c r="AP89" s="74"/>
      <c r="AQ89" s="74"/>
      <c r="AR89" s="74"/>
      <c r="AS89" s="74"/>
      <c r="AT89" s="74"/>
      <c r="AU89" s="74"/>
      <c r="AV89" s="74"/>
      <c r="AW89" s="74"/>
      <c r="AX89" s="74"/>
      <c r="AY89" s="74"/>
      <c r="AZ89" s="74"/>
      <c r="BA89" s="74"/>
      <c r="BB89" s="74"/>
      <c r="BC89" s="74"/>
      <c r="BD89" s="74"/>
      <c r="BE89" s="74"/>
      <c r="BF89" s="74"/>
      <c r="BG89" s="74"/>
    </row>
    <row r="90" spans="2:59">
      <c r="B90" s="83">
        <v>85</v>
      </c>
      <c r="C90" s="252"/>
      <c r="D90" s="228" t="s">
        <v>931</v>
      </c>
      <c r="E90" s="228" t="s">
        <v>932</v>
      </c>
      <c r="F90" s="228" t="s">
        <v>6</v>
      </c>
      <c r="G90" s="228" t="s">
        <v>9</v>
      </c>
      <c r="H90" s="228" t="s">
        <v>26</v>
      </c>
      <c r="I90" s="228" t="s">
        <v>30</v>
      </c>
      <c r="J90" s="228" t="s">
        <v>112</v>
      </c>
      <c r="K90" s="229">
        <v>5</v>
      </c>
      <c r="L90" s="228" t="s">
        <v>112</v>
      </c>
      <c r="M90" s="229">
        <v>5</v>
      </c>
      <c r="N90" s="228" t="s">
        <v>112</v>
      </c>
      <c r="O90" s="229">
        <v>5</v>
      </c>
      <c r="P90" s="228" t="s">
        <v>36</v>
      </c>
      <c r="Q90" s="229">
        <v>4</v>
      </c>
      <c r="R90" s="229" t="s">
        <v>36</v>
      </c>
      <c r="S90" s="229">
        <v>4</v>
      </c>
      <c r="T90" s="229" t="s">
        <v>112</v>
      </c>
      <c r="U90" s="229">
        <v>5</v>
      </c>
      <c r="V90" s="229" t="s">
        <v>36</v>
      </c>
      <c r="W90" s="229">
        <v>4</v>
      </c>
      <c r="X90" s="229" t="s">
        <v>112</v>
      </c>
      <c r="Y90" s="229">
        <v>5</v>
      </c>
      <c r="Z90" s="229" t="s">
        <v>112</v>
      </c>
      <c r="AA90" s="229">
        <v>5</v>
      </c>
      <c r="AB90" s="233" t="s">
        <v>933</v>
      </c>
      <c r="AC90" s="10"/>
      <c r="AD90" s="72"/>
      <c r="AE90" s="72"/>
      <c r="AF90" s="72"/>
      <c r="AG90" s="72"/>
      <c r="AH90" s="72"/>
      <c r="AI90" s="73"/>
      <c r="AJ90" s="72"/>
      <c r="AK90" s="72"/>
      <c r="AL90" s="72"/>
      <c r="AM90" s="72"/>
      <c r="AN90" s="74"/>
      <c r="AO90" s="74"/>
      <c r="AP90" s="74"/>
      <c r="AQ90" s="74"/>
      <c r="AR90" s="74"/>
      <c r="AS90" s="74"/>
      <c r="AT90" s="74"/>
      <c r="AU90" s="74"/>
      <c r="AV90" s="74"/>
      <c r="AW90" s="74"/>
      <c r="AX90" s="74"/>
      <c r="AY90" s="74"/>
      <c r="AZ90" s="74"/>
      <c r="BA90" s="74"/>
      <c r="BB90" s="74"/>
      <c r="BC90" s="74"/>
      <c r="BD90" s="74"/>
      <c r="BE90" s="74"/>
      <c r="BF90" s="74"/>
      <c r="BG90" s="74"/>
    </row>
    <row r="91" spans="2:59">
      <c r="B91" s="83">
        <v>86</v>
      </c>
      <c r="C91" s="252"/>
      <c r="D91" s="228" t="s">
        <v>934</v>
      </c>
      <c r="E91" s="228" t="s">
        <v>935</v>
      </c>
      <c r="F91" s="228" t="s">
        <v>6</v>
      </c>
      <c r="G91" s="228" t="s">
        <v>19</v>
      </c>
      <c r="H91" s="228" t="s">
        <v>26</v>
      </c>
      <c r="I91" s="228" t="s">
        <v>30</v>
      </c>
      <c r="J91" s="228" t="s">
        <v>112</v>
      </c>
      <c r="K91" s="229">
        <v>5</v>
      </c>
      <c r="L91" s="228" t="s">
        <v>112</v>
      </c>
      <c r="M91" s="229">
        <v>5</v>
      </c>
      <c r="N91" s="228" t="s">
        <v>112</v>
      </c>
      <c r="O91" s="229">
        <v>5</v>
      </c>
      <c r="P91" s="228" t="s">
        <v>112</v>
      </c>
      <c r="Q91" s="229">
        <v>5</v>
      </c>
      <c r="R91" s="229" t="s">
        <v>36</v>
      </c>
      <c r="S91" s="229">
        <v>4</v>
      </c>
      <c r="T91" s="229" t="s">
        <v>112</v>
      </c>
      <c r="U91" s="229">
        <v>5</v>
      </c>
      <c r="V91" s="229" t="s">
        <v>112</v>
      </c>
      <c r="W91" s="229">
        <v>5</v>
      </c>
      <c r="X91" s="229" t="s">
        <v>112</v>
      </c>
      <c r="Y91" s="229">
        <v>5</v>
      </c>
      <c r="Z91" s="229" t="s">
        <v>112</v>
      </c>
      <c r="AA91" s="229">
        <v>5</v>
      </c>
      <c r="AB91" s="233" t="s">
        <v>936</v>
      </c>
      <c r="AC91" s="10"/>
      <c r="AD91" s="72"/>
      <c r="AE91" s="72"/>
      <c r="AF91" s="72"/>
      <c r="AG91" s="72"/>
      <c r="AH91" s="72"/>
      <c r="AI91" s="73"/>
      <c r="AJ91" s="72"/>
      <c r="AK91" s="72"/>
      <c r="AL91" s="72"/>
      <c r="AM91" s="72"/>
      <c r="AN91" s="74"/>
      <c r="AO91" s="74"/>
      <c r="AP91" s="74"/>
      <c r="AQ91" s="74"/>
      <c r="AR91" s="74"/>
      <c r="AS91" s="74"/>
      <c r="AT91" s="74"/>
      <c r="AU91" s="74"/>
      <c r="AV91" s="74"/>
      <c r="AW91" s="74"/>
      <c r="AX91" s="74"/>
      <c r="AY91" s="74"/>
      <c r="AZ91" s="74"/>
      <c r="BA91" s="74"/>
      <c r="BB91" s="74"/>
      <c r="BC91" s="74"/>
      <c r="BD91" s="74"/>
      <c r="BE91" s="74"/>
      <c r="BF91" s="74"/>
      <c r="BG91" s="74"/>
    </row>
    <row r="92" spans="2:59">
      <c r="B92" s="83">
        <v>87</v>
      </c>
      <c r="C92" s="252"/>
      <c r="D92" s="228" t="s">
        <v>937</v>
      </c>
      <c r="E92" s="228" t="s">
        <v>938</v>
      </c>
      <c r="F92" s="228" t="s">
        <v>6</v>
      </c>
      <c r="G92" s="228" t="s">
        <v>9</v>
      </c>
      <c r="H92" s="228" t="s">
        <v>26</v>
      </c>
      <c r="I92" s="228" t="s">
        <v>30</v>
      </c>
      <c r="J92" s="228" t="s">
        <v>35</v>
      </c>
      <c r="K92" s="229">
        <v>3</v>
      </c>
      <c r="L92" s="228" t="s">
        <v>35</v>
      </c>
      <c r="M92" s="229">
        <v>3</v>
      </c>
      <c r="N92" s="228" t="s">
        <v>35</v>
      </c>
      <c r="O92" s="229">
        <v>3</v>
      </c>
      <c r="P92" s="228" t="s">
        <v>36</v>
      </c>
      <c r="Q92" s="229">
        <v>4</v>
      </c>
      <c r="R92" s="229" t="s">
        <v>35</v>
      </c>
      <c r="S92" s="229">
        <v>3</v>
      </c>
      <c r="T92" s="229" t="s">
        <v>35</v>
      </c>
      <c r="U92" s="229">
        <v>3</v>
      </c>
      <c r="V92" s="229" t="s">
        <v>35</v>
      </c>
      <c r="W92" s="229">
        <v>3</v>
      </c>
      <c r="X92" s="229" t="s">
        <v>35</v>
      </c>
      <c r="Y92" s="229">
        <v>3</v>
      </c>
      <c r="Z92" s="229" t="s">
        <v>35</v>
      </c>
      <c r="AA92" s="229">
        <v>3</v>
      </c>
      <c r="AB92" s="233" t="s">
        <v>939</v>
      </c>
      <c r="AC92" s="10"/>
      <c r="AD92" s="72"/>
      <c r="AE92" s="72"/>
      <c r="AF92" s="72"/>
      <c r="AG92" s="72"/>
      <c r="AH92" s="72"/>
      <c r="AI92" s="73"/>
      <c r="AJ92" s="72"/>
      <c r="AK92" s="72"/>
      <c r="AL92" s="72"/>
      <c r="AM92" s="72"/>
      <c r="AN92" s="74"/>
      <c r="AO92" s="74"/>
      <c r="AP92" s="74"/>
      <c r="AQ92" s="74"/>
      <c r="AR92" s="74"/>
      <c r="AS92" s="74"/>
      <c r="AT92" s="74"/>
      <c r="AU92" s="74"/>
      <c r="AV92" s="74"/>
      <c r="AW92" s="74"/>
      <c r="AX92" s="74"/>
      <c r="AY92" s="74"/>
      <c r="AZ92" s="74"/>
      <c r="BA92" s="74"/>
      <c r="BB92" s="74"/>
      <c r="BC92" s="74"/>
      <c r="BD92" s="74"/>
      <c r="BE92" s="74"/>
      <c r="BF92" s="74"/>
      <c r="BG92" s="74"/>
    </row>
    <row r="93" spans="2:59">
      <c r="B93" s="83">
        <v>88</v>
      </c>
      <c r="C93" s="252"/>
      <c r="D93" s="228" t="s">
        <v>940</v>
      </c>
      <c r="E93" s="228" t="s">
        <v>941</v>
      </c>
      <c r="F93" s="228" t="s">
        <v>6</v>
      </c>
      <c r="G93" s="228" t="s">
        <v>9</v>
      </c>
      <c r="H93" s="228" t="s">
        <v>113</v>
      </c>
      <c r="I93" s="228" t="s">
        <v>30</v>
      </c>
      <c r="J93" s="228" t="s">
        <v>112</v>
      </c>
      <c r="K93" s="229">
        <v>5</v>
      </c>
      <c r="L93" s="228" t="s">
        <v>112</v>
      </c>
      <c r="M93" s="229">
        <v>5</v>
      </c>
      <c r="N93" s="228" t="s">
        <v>112</v>
      </c>
      <c r="O93" s="229">
        <v>5</v>
      </c>
      <c r="P93" s="228" t="s">
        <v>36</v>
      </c>
      <c r="Q93" s="229">
        <v>4</v>
      </c>
      <c r="R93" s="229" t="s">
        <v>36</v>
      </c>
      <c r="S93" s="229">
        <v>4</v>
      </c>
      <c r="T93" s="229" t="s">
        <v>36</v>
      </c>
      <c r="U93" s="229">
        <v>4</v>
      </c>
      <c r="V93" s="229" t="s">
        <v>36</v>
      </c>
      <c r="W93" s="229">
        <v>4</v>
      </c>
      <c r="X93" s="229" t="s">
        <v>36</v>
      </c>
      <c r="Y93" s="229">
        <v>4</v>
      </c>
      <c r="Z93" s="229" t="s">
        <v>112</v>
      </c>
      <c r="AA93" s="229">
        <v>5</v>
      </c>
      <c r="AB93" s="233" t="s">
        <v>942</v>
      </c>
      <c r="AC93" s="72"/>
      <c r="AD93" s="72"/>
      <c r="AE93" s="72"/>
      <c r="AF93" s="72"/>
      <c r="AG93" s="72"/>
      <c r="AH93" s="72"/>
      <c r="AI93" s="73"/>
      <c r="AJ93" s="72"/>
      <c r="AK93" s="72"/>
      <c r="AL93" s="72"/>
      <c r="AM93" s="72"/>
      <c r="AN93" s="74"/>
      <c r="AO93" s="74"/>
      <c r="AP93" s="74"/>
      <c r="AQ93" s="74"/>
      <c r="AR93" s="74"/>
      <c r="AS93" s="74"/>
      <c r="AT93" s="74"/>
      <c r="AU93" s="74"/>
      <c r="AV93" s="74"/>
      <c r="AW93" s="74"/>
      <c r="AX93" s="74"/>
      <c r="AY93" s="74"/>
      <c r="AZ93" s="74"/>
      <c r="BA93" s="74"/>
      <c r="BB93" s="74"/>
      <c r="BC93" s="74"/>
      <c r="BD93" s="74"/>
      <c r="BE93" s="74"/>
      <c r="BF93" s="74"/>
      <c r="BG93" s="74"/>
    </row>
    <row r="94" spans="2:59">
      <c r="B94" s="83">
        <v>89</v>
      </c>
      <c r="C94" s="252"/>
      <c r="D94" s="228" t="s">
        <v>943</v>
      </c>
      <c r="E94" s="228" t="s">
        <v>944</v>
      </c>
      <c r="F94" s="228" t="s">
        <v>6</v>
      </c>
      <c r="G94" s="228" t="s">
        <v>9</v>
      </c>
      <c r="H94" s="228" t="s">
        <v>113</v>
      </c>
      <c r="I94" s="228" t="s">
        <v>30</v>
      </c>
      <c r="J94" s="228" t="s">
        <v>36</v>
      </c>
      <c r="K94" s="229">
        <v>4</v>
      </c>
      <c r="L94" s="228" t="s">
        <v>35</v>
      </c>
      <c r="M94" s="229">
        <v>3</v>
      </c>
      <c r="N94" s="228" t="s">
        <v>35</v>
      </c>
      <c r="O94" s="229">
        <v>3</v>
      </c>
      <c r="P94" s="228" t="s">
        <v>36</v>
      </c>
      <c r="Q94" s="229">
        <v>4</v>
      </c>
      <c r="R94" s="229" t="s">
        <v>35</v>
      </c>
      <c r="S94" s="229">
        <v>3</v>
      </c>
      <c r="T94" s="229" t="s">
        <v>35</v>
      </c>
      <c r="U94" s="229">
        <v>3</v>
      </c>
      <c r="V94" s="229" t="s">
        <v>35</v>
      </c>
      <c r="W94" s="229">
        <v>3</v>
      </c>
      <c r="X94" s="229" t="s">
        <v>36</v>
      </c>
      <c r="Y94" s="229">
        <v>4</v>
      </c>
      <c r="Z94" s="229" t="s">
        <v>35</v>
      </c>
      <c r="AA94" s="229">
        <v>3</v>
      </c>
      <c r="AB94" s="233" t="s">
        <v>945</v>
      </c>
      <c r="AC94" s="72"/>
      <c r="AD94" s="72"/>
      <c r="AE94" s="72"/>
      <c r="AF94" s="72"/>
      <c r="AG94" s="72"/>
      <c r="AH94" s="72"/>
      <c r="AI94" s="73"/>
      <c r="AJ94" s="72"/>
      <c r="AK94" s="72"/>
      <c r="AL94" s="72"/>
      <c r="AM94" s="72"/>
      <c r="AN94" s="74"/>
      <c r="AO94" s="74"/>
      <c r="AP94" s="74"/>
      <c r="AQ94" s="74"/>
      <c r="AR94" s="74"/>
      <c r="AS94" s="74"/>
      <c r="AT94" s="74"/>
      <c r="AU94" s="74"/>
      <c r="AV94" s="74"/>
      <c r="AW94" s="74"/>
      <c r="AX94" s="74"/>
      <c r="AY94" s="74"/>
      <c r="AZ94" s="74"/>
      <c r="BA94" s="74"/>
      <c r="BB94" s="74"/>
      <c r="BC94" s="74"/>
      <c r="BD94" s="74"/>
      <c r="BE94" s="74"/>
      <c r="BF94" s="74"/>
      <c r="BG94" s="74"/>
    </row>
    <row r="95" spans="2:59">
      <c r="B95" s="83">
        <v>90</v>
      </c>
      <c r="C95" s="252"/>
      <c r="D95" s="228" t="s">
        <v>946</v>
      </c>
      <c r="E95" s="228" t="s">
        <v>947</v>
      </c>
      <c r="F95" s="228" t="s">
        <v>6</v>
      </c>
      <c r="G95" s="228" t="s">
        <v>18</v>
      </c>
      <c r="H95" s="228" t="s">
        <v>113</v>
      </c>
      <c r="I95" s="228" t="s">
        <v>30</v>
      </c>
      <c r="J95" s="228" t="s">
        <v>35</v>
      </c>
      <c r="K95" s="229">
        <v>3</v>
      </c>
      <c r="L95" s="228" t="s">
        <v>35</v>
      </c>
      <c r="M95" s="229">
        <v>3</v>
      </c>
      <c r="N95" s="228" t="s">
        <v>35</v>
      </c>
      <c r="O95" s="229">
        <v>3</v>
      </c>
      <c r="P95" s="228" t="s">
        <v>36</v>
      </c>
      <c r="Q95" s="229">
        <v>4</v>
      </c>
      <c r="R95" s="229" t="s">
        <v>35</v>
      </c>
      <c r="S95" s="229">
        <v>3</v>
      </c>
      <c r="T95" s="229" t="s">
        <v>35</v>
      </c>
      <c r="U95" s="229">
        <v>3</v>
      </c>
      <c r="V95" s="229" t="s">
        <v>35</v>
      </c>
      <c r="W95" s="229">
        <v>3</v>
      </c>
      <c r="X95" s="229" t="s">
        <v>36</v>
      </c>
      <c r="Y95" s="229">
        <v>4</v>
      </c>
      <c r="Z95" s="229" t="s">
        <v>112</v>
      </c>
      <c r="AA95" s="229">
        <v>5</v>
      </c>
      <c r="AB95" s="233" t="s">
        <v>843</v>
      </c>
      <c r="AC95" s="72"/>
      <c r="AD95" s="72"/>
      <c r="AE95" s="72"/>
      <c r="AF95" s="72"/>
      <c r="AG95" s="72"/>
      <c r="AH95" s="72"/>
      <c r="AI95" s="73"/>
      <c r="AJ95" s="72"/>
      <c r="AK95" s="72"/>
      <c r="AL95" s="72"/>
      <c r="AM95" s="72"/>
      <c r="AN95" s="74"/>
      <c r="AO95" s="74"/>
      <c r="AP95" s="74"/>
      <c r="AQ95" s="74"/>
      <c r="AR95" s="74"/>
      <c r="AS95" s="74"/>
      <c r="AT95" s="74"/>
      <c r="AU95" s="74"/>
      <c r="AV95" s="74"/>
      <c r="AW95" s="74"/>
      <c r="AX95" s="74"/>
      <c r="AY95" s="74"/>
      <c r="AZ95" s="74"/>
      <c r="BA95" s="74"/>
      <c r="BB95" s="74"/>
      <c r="BC95" s="74"/>
      <c r="BD95" s="74"/>
      <c r="BE95" s="74"/>
      <c r="BF95" s="74"/>
      <c r="BG95" s="74"/>
    </row>
    <row r="96" spans="2:59">
      <c r="B96" s="83">
        <v>91</v>
      </c>
      <c r="C96" s="252"/>
      <c r="D96" s="228" t="s">
        <v>948</v>
      </c>
      <c r="E96" s="228" t="s">
        <v>949</v>
      </c>
      <c r="F96" s="228" t="s">
        <v>6</v>
      </c>
      <c r="G96" s="228" t="s">
        <v>18</v>
      </c>
      <c r="H96" s="228" t="s">
        <v>113</v>
      </c>
      <c r="I96" s="228" t="s">
        <v>30</v>
      </c>
      <c r="J96" s="228" t="s">
        <v>112</v>
      </c>
      <c r="K96" s="229">
        <v>5</v>
      </c>
      <c r="L96" s="228" t="s">
        <v>112</v>
      </c>
      <c r="M96" s="229">
        <v>5</v>
      </c>
      <c r="N96" s="228" t="s">
        <v>112</v>
      </c>
      <c r="O96" s="229">
        <v>5</v>
      </c>
      <c r="P96" s="228" t="s">
        <v>112</v>
      </c>
      <c r="Q96" s="229">
        <v>5</v>
      </c>
      <c r="R96" s="229" t="s">
        <v>36</v>
      </c>
      <c r="S96" s="229">
        <v>4</v>
      </c>
      <c r="T96" s="229" t="s">
        <v>36</v>
      </c>
      <c r="U96" s="229">
        <v>4</v>
      </c>
      <c r="V96" s="229" t="s">
        <v>36</v>
      </c>
      <c r="W96" s="229">
        <v>4</v>
      </c>
      <c r="X96" s="229" t="s">
        <v>36</v>
      </c>
      <c r="Y96" s="229">
        <v>4</v>
      </c>
      <c r="Z96" s="229" t="s">
        <v>36</v>
      </c>
      <c r="AA96" s="229">
        <v>4</v>
      </c>
      <c r="AB96" s="233" t="s">
        <v>950</v>
      </c>
      <c r="AC96" s="72"/>
      <c r="AD96" s="72"/>
      <c r="AE96" s="72"/>
      <c r="AF96" s="72"/>
      <c r="AG96" s="72"/>
      <c r="AH96" s="72"/>
      <c r="AI96" s="73"/>
      <c r="AJ96" s="72"/>
      <c r="AK96" s="72"/>
      <c r="AL96" s="72"/>
      <c r="AM96" s="72"/>
      <c r="AN96" s="74"/>
      <c r="AO96" s="74"/>
      <c r="AP96" s="74"/>
      <c r="AQ96" s="74"/>
      <c r="AR96" s="74"/>
      <c r="AS96" s="74"/>
      <c r="AT96" s="74"/>
      <c r="AU96" s="74"/>
      <c r="AV96" s="74"/>
      <c r="AW96" s="74"/>
      <c r="AX96" s="74"/>
      <c r="AY96" s="74"/>
      <c r="AZ96" s="74"/>
      <c r="BA96" s="74"/>
      <c r="BB96" s="74"/>
      <c r="BC96" s="74"/>
      <c r="BD96" s="74"/>
      <c r="BE96" s="74"/>
      <c r="BF96" s="74"/>
      <c r="BG96" s="74"/>
    </row>
    <row r="97" spans="2:59">
      <c r="B97" s="83">
        <v>92</v>
      </c>
      <c r="C97" s="252" t="s">
        <v>140</v>
      </c>
      <c r="D97" s="228" t="s">
        <v>952</v>
      </c>
      <c r="E97" s="228" t="s">
        <v>953</v>
      </c>
      <c r="F97" s="228" t="s">
        <v>6</v>
      </c>
      <c r="G97" s="228" t="s">
        <v>9</v>
      </c>
      <c r="H97" s="228" t="s">
        <v>26</v>
      </c>
      <c r="I97" s="228" t="s">
        <v>28</v>
      </c>
      <c r="J97" s="228" t="s">
        <v>112</v>
      </c>
      <c r="K97" s="229">
        <v>5</v>
      </c>
      <c r="L97" s="228" t="s">
        <v>112</v>
      </c>
      <c r="M97" s="229">
        <v>5</v>
      </c>
      <c r="N97" s="228" t="s">
        <v>112</v>
      </c>
      <c r="O97" s="229">
        <v>5</v>
      </c>
      <c r="P97" s="228" t="s">
        <v>36</v>
      </c>
      <c r="Q97" s="229">
        <v>4</v>
      </c>
      <c r="R97" s="229" t="s">
        <v>35</v>
      </c>
      <c r="S97" s="229">
        <v>3</v>
      </c>
      <c r="T97" s="229" t="s">
        <v>35</v>
      </c>
      <c r="U97" s="229">
        <v>3</v>
      </c>
      <c r="V97" s="229" t="s">
        <v>36</v>
      </c>
      <c r="W97" s="229">
        <v>4</v>
      </c>
      <c r="X97" s="229" t="s">
        <v>36</v>
      </c>
      <c r="Y97" s="229">
        <v>4</v>
      </c>
      <c r="Z97" s="229" t="s">
        <v>36</v>
      </c>
      <c r="AA97" s="229">
        <v>4</v>
      </c>
      <c r="AB97" s="233"/>
      <c r="AC97" s="72"/>
      <c r="AD97" s="72"/>
      <c r="AE97" s="72"/>
      <c r="AF97" s="72"/>
      <c r="AG97" s="72"/>
      <c r="AH97" s="72"/>
      <c r="AI97" s="73"/>
      <c r="AJ97" s="72"/>
      <c r="AK97" s="72"/>
      <c r="AL97" s="72"/>
      <c r="AM97" s="72"/>
      <c r="AN97" s="74"/>
      <c r="AO97" s="74"/>
      <c r="AP97" s="74"/>
      <c r="AQ97" s="74"/>
      <c r="AR97" s="74"/>
      <c r="AS97" s="74"/>
      <c r="AT97" s="74"/>
      <c r="AU97" s="74"/>
      <c r="AV97" s="74"/>
      <c r="AW97" s="74"/>
      <c r="AX97" s="74"/>
      <c r="AY97" s="74"/>
      <c r="AZ97" s="74"/>
      <c r="BA97" s="74"/>
      <c r="BB97" s="74"/>
      <c r="BC97" s="74"/>
      <c r="BD97" s="74"/>
      <c r="BE97" s="74"/>
      <c r="BF97" s="74"/>
      <c r="BG97" s="74"/>
    </row>
    <row r="98" spans="2:59">
      <c r="B98" s="83">
        <v>93</v>
      </c>
      <c r="C98" s="252"/>
      <c r="D98" s="228" t="s">
        <v>954</v>
      </c>
      <c r="E98" s="228" t="s">
        <v>955</v>
      </c>
      <c r="F98" s="228" t="s">
        <v>6</v>
      </c>
      <c r="G98" s="228" t="s">
        <v>18</v>
      </c>
      <c r="H98" s="228" t="s">
        <v>26</v>
      </c>
      <c r="I98" s="228" t="s">
        <v>28</v>
      </c>
      <c r="J98" s="228" t="s">
        <v>36</v>
      </c>
      <c r="K98" s="229">
        <v>4</v>
      </c>
      <c r="L98" s="228" t="s">
        <v>36</v>
      </c>
      <c r="M98" s="229">
        <v>4</v>
      </c>
      <c r="N98" s="228" t="s">
        <v>36</v>
      </c>
      <c r="O98" s="229">
        <v>4</v>
      </c>
      <c r="P98" s="228" t="s">
        <v>36</v>
      </c>
      <c r="Q98" s="229">
        <v>4</v>
      </c>
      <c r="R98" s="229" t="s">
        <v>36</v>
      </c>
      <c r="S98" s="229">
        <v>4</v>
      </c>
      <c r="T98" s="229" t="s">
        <v>112</v>
      </c>
      <c r="U98" s="229">
        <v>5</v>
      </c>
      <c r="V98" s="229" t="s">
        <v>112</v>
      </c>
      <c r="W98" s="229">
        <v>5</v>
      </c>
      <c r="X98" s="229" t="s">
        <v>36</v>
      </c>
      <c r="Y98" s="229">
        <v>4</v>
      </c>
      <c r="Z98" s="229" t="s">
        <v>112</v>
      </c>
      <c r="AA98" s="229">
        <v>5</v>
      </c>
      <c r="AB98" s="233" t="s">
        <v>956</v>
      </c>
      <c r="AC98" s="72"/>
      <c r="AD98" s="72"/>
      <c r="AE98" s="72"/>
      <c r="AF98" s="72"/>
      <c r="AG98" s="72"/>
      <c r="AH98" s="72"/>
      <c r="AI98" s="73"/>
      <c r="AJ98" s="72"/>
      <c r="AK98" s="72"/>
      <c r="AL98" s="72"/>
      <c r="AM98" s="72"/>
      <c r="AN98" s="74"/>
      <c r="AO98" s="74"/>
      <c r="AP98" s="74"/>
      <c r="AQ98" s="74"/>
      <c r="AR98" s="74"/>
      <c r="AS98" s="74"/>
      <c r="AT98" s="74"/>
      <c r="AU98" s="74"/>
      <c r="AV98" s="74"/>
      <c r="AW98" s="74"/>
      <c r="AX98" s="74"/>
      <c r="AY98" s="74"/>
      <c r="AZ98" s="74"/>
      <c r="BA98" s="74"/>
      <c r="BB98" s="74"/>
      <c r="BC98" s="74"/>
      <c r="BD98" s="74"/>
      <c r="BE98" s="74"/>
      <c r="BF98" s="74"/>
      <c r="BG98" s="74"/>
    </row>
    <row r="99" spans="2:59">
      <c r="B99" s="83">
        <v>94</v>
      </c>
      <c r="C99" s="252"/>
      <c r="D99" s="228" t="s">
        <v>957</v>
      </c>
      <c r="E99" s="228" t="s">
        <v>958</v>
      </c>
      <c r="F99" s="228" t="s">
        <v>6</v>
      </c>
      <c r="G99" s="228" t="s">
        <v>14</v>
      </c>
      <c r="H99" s="228" t="s">
        <v>26</v>
      </c>
      <c r="I99" s="228" t="s">
        <v>30</v>
      </c>
      <c r="J99" s="228" t="s">
        <v>112</v>
      </c>
      <c r="K99" s="229">
        <v>5</v>
      </c>
      <c r="L99" s="228" t="s">
        <v>112</v>
      </c>
      <c r="M99" s="229">
        <v>5</v>
      </c>
      <c r="N99" s="228" t="s">
        <v>112</v>
      </c>
      <c r="O99" s="229">
        <v>5</v>
      </c>
      <c r="P99" s="228" t="s">
        <v>36</v>
      </c>
      <c r="Q99" s="229">
        <v>4</v>
      </c>
      <c r="R99" s="229" t="s">
        <v>112</v>
      </c>
      <c r="S99" s="229">
        <v>5</v>
      </c>
      <c r="T99" s="229" t="s">
        <v>112</v>
      </c>
      <c r="U99" s="229">
        <v>5</v>
      </c>
      <c r="V99" s="229" t="s">
        <v>112</v>
      </c>
      <c r="W99" s="229">
        <v>5</v>
      </c>
      <c r="X99" s="229" t="s">
        <v>112</v>
      </c>
      <c r="Y99" s="229">
        <v>5</v>
      </c>
      <c r="Z99" s="229" t="s">
        <v>36</v>
      </c>
      <c r="AA99" s="229">
        <v>4</v>
      </c>
      <c r="AB99" s="233" t="s">
        <v>959</v>
      </c>
      <c r="AC99" s="72"/>
      <c r="AD99" s="72"/>
      <c r="AE99" s="72"/>
      <c r="AF99" s="72"/>
      <c r="AG99" s="72"/>
      <c r="AH99" s="72"/>
      <c r="AI99" s="73"/>
      <c r="AJ99" s="72"/>
      <c r="AK99" s="72"/>
      <c r="AL99" s="72"/>
      <c r="AM99" s="72"/>
      <c r="AN99" s="74"/>
      <c r="AO99" s="74"/>
      <c r="AP99" s="74"/>
      <c r="AQ99" s="74"/>
      <c r="AR99" s="74"/>
      <c r="AS99" s="74"/>
      <c r="AT99" s="74"/>
      <c r="AU99" s="74"/>
      <c r="AV99" s="74"/>
      <c r="AW99" s="74"/>
      <c r="AX99" s="74"/>
      <c r="AY99" s="74"/>
      <c r="AZ99" s="74"/>
      <c r="BA99" s="74"/>
      <c r="BB99" s="74"/>
      <c r="BC99" s="74"/>
      <c r="BD99" s="74"/>
      <c r="BE99" s="74"/>
      <c r="BF99" s="74"/>
      <c r="BG99" s="74"/>
    </row>
    <row r="100" spans="2:59">
      <c r="B100" s="83">
        <v>95</v>
      </c>
      <c r="C100" s="252"/>
      <c r="D100" s="228" t="s">
        <v>960</v>
      </c>
      <c r="E100" s="228" t="s">
        <v>961</v>
      </c>
      <c r="F100" s="228" t="s">
        <v>6</v>
      </c>
      <c r="G100" s="228" t="s">
        <v>11</v>
      </c>
      <c r="H100" s="228" t="s">
        <v>26</v>
      </c>
      <c r="I100" s="228" t="s">
        <v>29</v>
      </c>
      <c r="J100" s="228" t="s">
        <v>112</v>
      </c>
      <c r="K100" s="229">
        <v>5</v>
      </c>
      <c r="L100" s="228" t="s">
        <v>112</v>
      </c>
      <c r="M100" s="229">
        <v>5</v>
      </c>
      <c r="N100" s="228" t="s">
        <v>112</v>
      </c>
      <c r="O100" s="229">
        <v>5</v>
      </c>
      <c r="P100" s="228" t="s">
        <v>112</v>
      </c>
      <c r="Q100" s="229">
        <v>5</v>
      </c>
      <c r="R100" s="229" t="s">
        <v>112</v>
      </c>
      <c r="S100" s="229">
        <v>5</v>
      </c>
      <c r="T100" s="229" t="s">
        <v>112</v>
      </c>
      <c r="U100" s="229">
        <v>5</v>
      </c>
      <c r="V100" s="229" t="s">
        <v>112</v>
      </c>
      <c r="W100" s="229">
        <v>5</v>
      </c>
      <c r="X100" s="229" t="s">
        <v>112</v>
      </c>
      <c r="Y100" s="229">
        <v>5</v>
      </c>
      <c r="Z100" s="229" t="s">
        <v>112</v>
      </c>
      <c r="AA100" s="229">
        <v>5</v>
      </c>
      <c r="AB100" s="233" t="s">
        <v>962</v>
      </c>
      <c r="AC100" s="72"/>
      <c r="AD100" s="72"/>
      <c r="AE100" s="72"/>
      <c r="AF100" s="72"/>
      <c r="AG100" s="72"/>
      <c r="AH100" s="72"/>
      <c r="AI100" s="73"/>
      <c r="AJ100" s="72"/>
      <c r="AK100" s="72"/>
      <c r="AL100" s="72"/>
      <c r="AM100" s="72"/>
      <c r="AN100" s="74"/>
      <c r="AO100" s="74"/>
      <c r="AP100" s="74"/>
      <c r="AQ100" s="74"/>
      <c r="AR100" s="74"/>
      <c r="AS100" s="74"/>
      <c r="AT100" s="74"/>
      <c r="AU100" s="74"/>
      <c r="AV100" s="74"/>
      <c r="AW100" s="74"/>
      <c r="AX100" s="74"/>
      <c r="AY100" s="74"/>
      <c r="AZ100" s="74"/>
      <c r="BA100" s="74"/>
      <c r="BB100" s="74"/>
      <c r="BC100" s="74"/>
      <c r="BD100" s="74"/>
      <c r="BE100" s="74"/>
      <c r="BF100" s="74"/>
      <c r="BG100" s="74"/>
    </row>
    <row r="101" spans="2:59">
      <c r="B101" s="83">
        <v>96</v>
      </c>
      <c r="C101" s="252"/>
      <c r="D101" s="228" t="s">
        <v>963</v>
      </c>
      <c r="E101" s="228" t="s">
        <v>964</v>
      </c>
      <c r="F101" s="228" t="s">
        <v>6</v>
      </c>
      <c r="G101" s="228" t="s">
        <v>17</v>
      </c>
      <c r="H101" s="228" t="s">
        <v>113</v>
      </c>
      <c r="I101" s="228" t="s">
        <v>30</v>
      </c>
      <c r="J101" s="228" t="s">
        <v>112</v>
      </c>
      <c r="K101" s="229">
        <v>5</v>
      </c>
      <c r="L101" s="228" t="s">
        <v>112</v>
      </c>
      <c r="M101" s="229">
        <v>5</v>
      </c>
      <c r="N101" s="228" t="s">
        <v>112</v>
      </c>
      <c r="O101" s="229">
        <v>5</v>
      </c>
      <c r="P101" s="228" t="s">
        <v>35</v>
      </c>
      <c r="Q101" s="229">
        <v>3</v>
      </c>
      <c r="R101" s="229" t="s">
        <v>112</v>
      </c>
      <c r="S101" s="229">
        <v>5</v>
      </c>
      <c r="T101" s="229" t="s">
        <v>112</v>
      </c>
      <c r="U101" s="229">
        <v>5</v>
      </c>
      <c r="V101" s="229" t="s">
        <v>112</v>
      </c>
      <c r="W101" s="229">
        <v>5</v>
      </c>
      <c r="X101" s="229" t="s">
        <v>35</v>
      </c>
      <c r="Y101" s="229">
        <v>3</v>
      </c>
      <c r="Z101" s="229" t="s">
        <v>112</v>
      </c>
      <c r="AA101" s="229">
        <v>5</v>
      </c>
      <c r="AB101" s="233" t="s">
        <v>965</v>
      </c>
      <c r="AC101" s="10"/>
      <c r="AD101" s="72"/>
      <c r="AE101" s="72"/>
      <c r="AF101" s="72"/>
      <c r="AG101" s="72"/>
      <c r="AH101" s="72"/>
      <c r="AI101" s="73"/>
      <c r="AJ101" s="72"/>
      <c r="AK101" s="72"/>
      <c r="AL101" s="72"/>
      <c r="AM101" s="72"/>
      <c r="AN101" s="74"/>
      <c r="AO101" s="74"/>
      <c r="AP101" s="74"/>
      <c r="AQ101" s="74"/>
      <c r="AR101" s="74"/>
      <c r="AS101" s="74"/>
      <c r="AT101" s="74"/>
      <c r="AU101" s="74"/>
      <c r="AV101" s="74"/>
      <c r="AW101" s="74"/>
      <c r="AX101" s="74"/>
      <c r="AY101" s="74"/>
      <c r="AZ101" s="74"/>
      <c r="BA101" s="74"/>
      <c r="BB101" s="74"/>
      <c r="BC101" s="74"/>
      <c r="BD101" s="74"/>
      <c r="BE101" s="74"/>
      <c r="BF101" s="74"/>
      <c r="BG101" s="74"/>
    </row>
    <row r="102" spans="2:59">
      <c r="B102" s="83">
        <v>97</v>
      </c>
      <c r="C102" s="252"/>
      <c r="D102" s="228" t="s">
        <v>966</v>
      </c>
      <c r="E102" s="228" t="s">
        <v>967</v>
      </c>
      <c r="F102" s="228" t="s">
        <v>6</v>
      </c>
      <c r="G102" s="228" t="s">
        <v>9</v>
      </c>
      <c r="H102" s="228" t="s">
        <v>26</v>
      </c>
      <c r="I102" s="228" t="s">
        <v>30</v>
      </c>
      <c r="J102" s="228" t="s">
        <v>36</v>
      </c>
      <c r="K102" s="229">
        <v>4</v>
      </c>
      <c r="L102" s="228" t="s">
        <v>36</v>
      </c>
      <c r="M102" s="229">
        <v>4</v>
      </c>
      <c r="N102" s="228" t="s">
        <v>36</v>
      </c>
      <c r="O102" s="229">
        <v>4</v>
      </c>
      <c r="P102" s="228" t="s">
        <v>35</v>
      </c>
      <c r="Q102" s="229">
        <v>3</v>
      </c>
      <c r="R102" s="229" t="s">
        <v>35</v>
      </c>
      <c r="S102" s="229">
        <v>3</v>
      </c>
      <c r="T102" s="229" t="s">
        <v>36</v>
      </c>
      <c r="U102" s="229">
        <v>4</v>
      </c>
      <c r="V102" s="229" t="s">
        <v>36</v>
      </c>
      <c r="W102" s="229">
        <v>4</v>
      </c>
      <c r="X102" s="229" t="s">
        <v>36</v>
      </c>
      <c r="Y102" s="229">
        <v>4</v>
      </c>
      <c r="Z102" s="229" t="s">
        <v>36</v>
      </c>
      <c r="AA102" s="229">
        <v>4</v>
      </c>
      <c r="AB102" s="233"/>
      <c r="AC102" s="10"/>
      <c r="AD102" s="72"/>
      <c r="AE102" s="72"/>
      <c r="AF102" s="72"/>
      <c r="AG102" s="72"/>
      <c r="AH102" s="72"/>
      <c r="AI102" s="73"/>
      <c r="AJ102" s="72"/>
      <c r="AK102" s="72"/>
      <c r="AL102" s="72"/>
      <c r="AM102" s="72"/>
      <c r="AN102" s="74"/>
      <c r="AO102" s="74"/>
      <c r="AP102" s="74"/>
      <c r="AQ102" s="74"/>
      <c r="AR102" s="74"/>
      <c r="AS102" s="74"/>
      <c r="AT102" s="74"/>
      <c r="AU102" s="74"/>
      <c r="AV102" s="74"/>
      <c r="AW102" s="74"/>
      <c r="AX102" s="74"/>
      <c r="AY102" s="74"/>
      <c r="AZ102" s="74"/>
      <c r="BA102" s="74"/>
      <c r="BB102" s="74"/>
      <c r="BC102" s="74"/>
      <c r="BD102" s="74"/>
      <c r="BE102" s="74"/>
      <c r="BF102" s="74"/>
      <c r="BG102" s="74"/>
    </row>
    <row r="103" spans="2:59">
      <c r="B103" s="83">
        <v>98</v>
      </c>
      <c r="C103" s="252"/>
      <c r="D103" s="228" t="s">
        <v>968</v>
      </c>
      <c r="E103" s="228" t="s">
        <v>969</v>
      </c>
      <c r="F103" s="228" t="s">
        <v>6</v>
      </c>
      <c r="G103" s="228" t="s">
        <v>17</v>
      </c>
      <c r="H103" s="228" t="s">
        <v>113</v>
      </c>
      <c r="I103" s="228" t="s">
        <v>30</v>
      </c>
      <c r="J103" s="228" t="s">
        <v>112</v>
      </c>
      <c r="K103" s="229">
        <v>5</v>
      </c>
      <c r="L103" s="228" t="s">
        <v>112</v>
      </c>
      <c r="M103" s="229">
        <v>5</v>
      </c>
      <c r="N103" s="228" t="s">
        <v>112</v>
      </c>
      <c r="O103" s="229">
        <v>5</v>
      </c>
      <c r="P103" s="228" t="s">
        <v>112</v>
      </c>
      <c r="Q103" s="229">
        <v>5</v>
      </c>
      <c r="R103" s="229" t="s">
        <v>112</v>
      </c>
      <c r="S103" s="229">
        <v>5</v>
      </c>
      <c r="T103" s="229" t="s">
        <v>112</v>
      </c>
      <c r="U103" s="229">
        <v>5</v>
      </c>
      <c r="V103" s="229" t="s">
        <v>112</v>
      </c>
      <c r="W103" s="229">
        <v>5</v>
      </c>
      <c r="X103" s="229" t="s">
        <v>112</v>
      </c>
      <c r="Y103" s="229">
        <v>5</v>
      </c>
      <c r="Z103" s="229" t="s">
        <v>112</v>
      </c>
      <c r="AA103" s="229">
        <v>5</v>
      </c>
      <c r="AB103" s="233" t="s">
        <v>970</v>
      </c>
      <c r="AC103" s="10"/>
      <c r="AD103" s="72"/>
      <c r="AE103" s="72"/>
      <c r="AF103" s="72"/>
      <c r="AG103" s="72"/>
      <c r="AH103" s="72"/>
      <c r="AI103" s="73"/>
      <c r="AJ103" s="72"/>
      <c r="AK103" s="72"/>
      <c r="AL103" s="72"/>
      <c r="AM103" s="72"/>
      <c r="AN103" s="74"/>
      <c r="AO103" s="74"/>
      <c r="AP103" s="74"/>
      <c r="AQ103" s="74"/>
      <c r="AR103" s="74"/>
      <c r="AS103" s="74"/>
      <c r="AT103" s="74"/>
      <c r="AU103" s="74"/>
      <c r="AV103" s="74"/>
      <c r="AW103" s="74"/>
      <c r="AX103" s="74"/>
      <c r="AY103" s="74"/>
      <c r="AZ103" s="74"/>
      <c r="BA103" s="74"/>
      <c r="BB103" s="74"/>
      <c r="BC103" s="74"/>
      <c r="BD103" s="74"/>
      <c r="BE103" s="74"/>
      <c r="BF103" s="74"/>
      <c r="BG103" s="74"/>
    </row>
    <row r="104" spans="2:59" s="118" customFormat="1" ht="16.5" customHeight="1">
      <c r="B104" s="83">
        <v>99</v>
      </c>
      <c r="C104" s="252"/>
      <c r="D104" s="228" t="s">
        <v>971</v>
      </c>
      <c r="E104" s="228" t="s">
        <v>972</v>
      </c>
      <c r="F104" s="228" t="s">
        <v>6</v>
      </c>
      <c r="G104" s="228" t="s">
        <v>9</v>
      </c>
      <c r="H104" s="228" t="s">
        <v>25</v>
      </c>
      <c r="I104" s="228" t="s">
        <v>32</v>
      </c>
      <c r="J104" s="228" t="s">
        <v>36</v>
      </c>
      <c r="K104" s="229">
        <v>4</v>
      </c>
      <c r="L104" s="228" t="s">
        <v>36</v>
      </c>
      <c r="M104" s="229">
        <v>4</v>
      </c>
      <c r="N104" s="228" t="s">
        <v>36</v>
      </c>
      <c r="O104" s="229">
        <v>4</v>
      </c>
      <c r="P104" s="228" t="s">
        <v>36</v>
      </c>
      <c r="Q104" s="229">
        <v>4</v>
      </c>
      <c r="R104" s="229" t="s">
        <v>36</v>
      </c>
      <c r="S104" s="229">
        <v>4</v>
      </c>
      <c r="T104" s="229" t="s">
        <v>35</v>
      </c>
      <c r="U104" s="229">
        <v>3</v>
      </c>
      <c r="V104" s="229" t="s">
        <v>36</v>
      </c>
      <c r="W104" s="229">
        <v>4</v>
      </c>
      <c r="X104" s="229" t="s">
        <v>36</v>
      </c>
      <c r="Y104" s="229">
        <v>4</v>
      </c>
      <c r="Z104" s="229" t="s">
        <v>36</v>
      </c>
      <c r="AA104" s="229">
        <v>4</v>
      </c>
      <c r="AB104" s="233"/>
      <c r="AD104" s="119"/>
      <c r="AE104" s="119"/>
      <c r="AF104" s="119"/>
      <c r="AG104" s="119"/>
      <c r="AH104" s="119"/>
      <c r="AI104" s="119"/>
      <c r="AJ104" s="119"/>
      <c r="AK104" s="119"/>
      <c r="AL104" s="119"/>
      <c r="AM104" s="119"/>
      <c r="AN104" s="120"/>
      <c r="AO104" s="120"/>
      <c r="AP104" s="120"/>
      <c r="AQ104" s="120"/>
      <c r="AR104" s="120"/>
      <c r="AS104" s="120"/>
      <c r="AT104" s="120"/>
      <c r="AU104" s="120"/>
      <c r="AV104" s="120"/>
      <c r="AW104" s="120"/>
      <c r="AX104" s="120"/>
      <c r="AY104" s="120"/>
      <c r="AZ104" s="120"/>
      <c r="BA104" s="120"/>
      <c r="BB104" s="120"/>
      <c r="BC104" s="120"/>
      <c r="BD104" s="120"/>
      <c r="BE104" s="120"/>
      <c r="BF104" s="120"/>
      <c r="BG104" s="120"/>
    </row>
    <row r="105" spans="2:59">
      <c r="B105" s="83">
        <v>100</v>
      </c>
      <c r="C105" s="252"/>
      <c r="D105" s="228" t="s">
        <v>973</v>
      </c>
      <c r="E105" s="228" t="s">
        <v>974</v>
      </c>
      <c r="F105" s="228" t="s">
        <v>6</v>
      </c>
      <c r="G105" s="228" t="s">
        <v>14</v>
      </c>
      <c r="H105" s="228" t="s">
        <v>26</v>
      </c>
      <c r="I105" s="228" t="s">
        <v>30</v>
      </c>
      <c r="J105" s="228" t="s">
        <v>112</v>
      </c>
      <c r="K105" s="229">
        <v>5</v>
      </c>
      <c r="L105" s="228" t="s">
        <v>112</v>
      </c>
      <c r="M105" s="229">
        <v>5</v>
      </c>
      <c r="N105" s="228" t="s">
        <v>112</v>
      </c>
      <c r="O105" s="229">
        <v>5</v>
      </c>
      <c r="P105" s="228" t="s">
        <v>112</v>
      </c>
      <c r="Q105" s="229">
        <v>5</v>
      </c>
      <c r="R105" s="229" t="s">
        <v>112</v>
      </c>
      <c r="S105" s="229">
        <v>5</v>
      </c>
      <c r="T105" s="229" t="s">
        <v>112</v>
      </c>
      <c r="U105" s="229">
        <v>5</v>
      </c>
      <c r="V105" s="229" t="s">
        <v>112</v>
      </c>
      <c r="W105" s="229">
        <v>5</v>
      </c>
      <c r="X105" s="229" t="s">
        <v>35</v>
      </c>
      <c r="Y105" s="229">
        <v>3</v>
      </c>
      <c r="Z105" s="229" t="s">
        <v>35</v>
      </c>
      <c r="AA105" s="229">
        <v>3</v>
      </c>
      <c r="AB105" s="233" t="s">
        <v>975</v>
      </c>
      <c r="AC105" s="10"/>
      <c r="AD105" s="72"/>
      <c r="AE105" s="72"/>
      <c r="AF105" s="72"/>
      <c r="AG105" s="72"/>
      <c r="AH105" s="72"/>
      <c r="AI105" s="73"/>
      <c r="AJ105" s="72"/>
      <c r="AK105" s="72"/>
      <c r="AL105" s="72"/>
      <c r="AM105" s="72"/>
      <c r="AN105" s="74"/>
      <c r="AO105" s="74"/>
      <c r="AP105" s="74"/>
      <c r="AQ105" s="74"/>
      <c r="AR105" s="74"/>
      <c r="AS105" s="74"/>
      <c r="AT105" s="74"/>
      <c r="AU105" s="74"/>
      <c r="AV105" s="74"/>
      <c r="AW105" s="74"/>
      <c r="AX105" s="74"/>
      <c r="AY105" s="74"/>
      <c r="AZ105" s="74"/>
      <c r="BA105" s="74"/>
      <c r="BB105" s="74"/>
      <c r="BC105" s="74"/>
      <c r="BD105" s="74"/>
      <c r="BE105" s="74"/>
      <c r="BF105" s="74"/>
      <c r="BG105" s="74"/>
    </row>
    <row r="106" spans="2:59">
      <c r="B106" s="83">
        <v>101</v>
      </c>
      <c r="C106" s="252"/>
      <c r="D106" s="228" t="s">
        <v>976</v>
      </c>
      <c r="E106" s="228" t="s">
        <v>977</v>
      </c>
      <c r="F106" s="228" t="s">
        <v>6</v>
      </c>
      <c r="G106" s="228" t="s">
        <v>7</v>
      </c>
      <c r="H106" s="228" t="s">
        <v>26</v>
      </c>
      <c r="I106" s="228" t="s">
        <v>30</v>
      </c>
      <c r="J106" s="228" t="s">
        <v>112</v>
      </c>
      <c r="K106" s="229">
        <v>5</v>
      </c>
      <c r="L106" s="228" t="s">
        <v>112</v>
      </c>
      <c r="M106" s="229">
        <v>5</v>
      </c>
      <c r="N106" s="228" t="s">
        <v>112</v>
      </c>
      <c r="O106" s="229">
        <v>5</v>
      </c>
      <c r="P106" s="228" t="s">
        <v>112</v>
      </c>
      <c r="Q106" s="229">
        <v>5</v>
      </c>
      <c r="R106" s="229" t="s">
        <v>112</v>
      </c>
      <c r="S106" s="229">
        <v>5</v>
      </c>
      <c r="T106" s="229" t="s">
        <v>112</v>
      </c>
      <c r="U106" s="229">
        <v>5</v>
      </c>
      <c r="V106" s="229" t="s">
        <v>112</v>
      </c>
      <c r="W106" s="229">
        <v>5</v>
      </c>
      <c r="X106" s="229" t="s">
        <v>112</v>
      </c>
      <c r="Y106" s="229">
        <v>5</v>
      </c>
      <c r="Z106" s="229" t="s">
        <v>112</v>
      </c>
      <c r="AA106" s="229">
        <v>5</v>
      </c>
      <c r="AB106" s="233" t="s">
        <v>978</v>
      </c>
      <c r="AC106" s="10"/>
      <c r="AD106" s="72"/>
      <c r="AE106" s="72"/>
      <c r="AF106" s="72"/>
      <c r="AG106" s="72"/>
      <c r="AH106" s="72"/>
      <c r="AI106" s="73"/>
      <c r="AJ106" s="72"/>
      <c r="AK106" s="72"/>
      <c r="AL106" s="72"/>
      <c r="AM106" s="72"/>
      <c r="AN106" s="74"/>
      <c r="AO106" s="74"/>
      <c r="AP106" s="74"/>
      <c r="AQ106" s="74"/>
      <c r="AR106" s="74"/>
      <c r="AS106" s="74"/>
      <c r="AT106" s="74"/>
      <c r="AU106" s="74"/>
      <c r="AV106" s="74"/>
      <c r="AW106" s="74"/>
      <c r="AX106" s="74"/>
      <c r="AY106" s="74"/>
      <c r="AZ106" s="74"/>
      <c r="BA106" s="74"/>
      <c r="BB106" s="74"/>
      <c r="BC106" s="74"/>
      <c r="BD106" s="74"/>
      <c r="BE106" s="74"/>
      <c r="BF106" s="74"/>
      <c r="BG106" s="74"/>
    </row>
    <row r="107" spans="2:59">
      <c r="B107" s="83">
        <v>102</v>
      </c>
      <c r="C107" s="252"/>
      <c r="D107" s="228" t="s">
        <v>979</v>
      </c>
      <c r="E107" s="228" t="s">
        <v>980</v>
      </c>
      <c r="F107" s="228" t="s">
        <v>6</v>
      </c>
      <c r="G107" s="228" t="s">
        <v>9</v>
      </c>
      <c r="H107" s="228" t="s">
        <v>24</v>
      </c>
      <c r="I107" s="228" t="s">
        <v>30</v>
      </c>
      <c r="J107" s="228" t="s">
        <v>112</v>
      </c>
      <c r="K107" s="229">
        <v>5</v>
      </c>
      <c r="L107" s="228" t="s">
        <v>112</v>
      </c>
      <c r="M107" s="229">
        <v>5</v>
      </c>
      <c r="N107" s="228" t="s">
        <v>112</v>
      </c>
      <c r="O107" s="229">
        <v>5</v>
      </c>
      <c r="P107" s="228" t="s">
        <v>35</v>
      </c>
      <c r="Q107" s="229">
        <v>3</v>
      </c>
      <c r="R107" s="229" t="s">
        <v>36</v>
      </c>
      <c r="S107" s="229">
        <v>4</v>
      </c>
      <c r="T107" s="229" t="s">
        <v>112</v>
      </c>
      <c r="U107" s="229">
        <v>5</v>
      </c>
      <c r="V107" s="229" t="s">
        <v>112</v>
      </c>
      <c r="W107" s="229">
        <v>5</v>
      </c>
      <c r="X107" s="229" t="s">
        <v>35</v>
      </c>
      <c r="Y107" s="229">
        <v>3</v>
      </c>
      <c r="Z107" s="229" t="s">
        <v>112</v>
      </c>
      <c r="AA107" s="229">
        <v>5</v>
      </c>
      <c r="AB107" s="233" t="s">
        <v>981</v>
      </c>
      <c r="AC107" s="10"/>
      <c r="AD107" s="72"/>
      <c r="AE107" s="72"/>
      <c r="AF107" s="72"/>
      <c r="AG107" s="72"/>
      <c r="AH107" s="72"/>
      <c r="AI107" s="73"/>
      <c r="AJ107" s="72"/>
      <c r="AK107" s="72"/>
      <c r="AL107" s="72"/>
      <c r="AM107" s="72"/>
      <c r="AN107" s="74"/>
      <c r="AO107" s="74"/>
      <c r="AP107" s="74"/>
      <c r="AQ107" s="74"/>
      <c r="AR107" s="74"/>
      <c r="AS107" s="74"/>
      <c r="AT107" s="74"/>
      <c r="AU107" s="74"/>
      <c r="AV107" s="74"/>
      <c r="AW107" s="74"/>
      <c r="AX107" s="74"/>
      <c r="AY107" s="74"/>
      <c r="AZ107" s="74"/>
      <c r="BA107" s="74"/>
      <c r="BB107" s="74"/>
      <c r="BC107" s="74"/>
      <c r="BD107" s="74"/>
      <c r="BE107" s="74"/>
      <c r="BF107" s="74"/>
      <c r="BG107" s="74"/>
    </row>
    <row r="108" spans="2:59">
      <c r="B108" s="83">
        <v>103</v>
      </c>
      <c r="C108" s="252"/>
      <c r="D108" s="228" t="s">
        <v>982</v>
      </c>
      <c r="E108" s="228" t="s">
        <v>983</v>
      </c>
      <c r="F108" s="228" t="s">
        <v>6</v>
      </c>
      <c r="G108" s="228" t="s">
        <v>18</v>
      </c>
      <c r="H108" s="228" t="s">
        <v>26</v>
      </c>
      <c r="I108" s="228" t="s">
        <v>30</v>
      </c>
      <c r="J108" s="228" t="s">
        <v>112</v>
      </c>
      <c r="K108" s="229">
        <v>5</v>
      </c>
      <c r="L108" s="228" t="s">
        <v>112</v>
      </c>
      <c r="M108" s="229">
        <v>5</v>
      </c>
      <c r="N108" s="228" t="s">
        <v>36</v>
      </c>
      <c r="O108" s="229">
        <v>4</v>
      </c>
      <c r="P108" s="228" t="s">
        <v>36</v>
      </c>
      <c r="Q108" s="229">
        <v>4</v>
      </c>
      <c r="R108" s="229" t="s">
        <v>36</v>
      </c>
      <c r="S108" s="229">
        <v>4</v>
      </c>
      <c r="T108" s="229" t="s">
        <v>36</v>
      </c>
      <c r="U108" s="229">
        <v>4</v>
      </c>
      <c r="V108" s="229" t="s">
        <v>36</v>
      </c>
      <c r="W108" s="229">
        <v>4</v>
      </c>
      <c r="X108" s="229" t="s">
        <v>36</v>
      </c>
      <c r="Y108" s="229">
        <v>4</v>
      </c>
      <c r="Z108" s="229" t="s">
        <v>36</v>
      </c>
      <c r="AA108" s="229">
        <v>4</v>
      </c>
      <c r="AB108" s="233" t="s">
        <v>984</v>
      </c>
      <c r="AC108" s="10"/>
      <c r="AD108" s="72"/>
      <c r="AE108" s="72"/>
      <c r="AF108" s="72"/>
      <c r="AG108" s="72"/>
      <c r="AH108" s="72"/>
      <c r="AI108" s="73"/>
      <c r="AJ108" s="72"/>
      <c r="AK108" s="72"/>
      <c r="AL108" s="72"/>
      <c r="AM108" s="72"/>
      <c r="AN108" s="74"/>
      <c r="AO108" s="74"/>
      <c r="AP108" s="74"/>
      <c r="AQ108" s="74"/>
      <c r="AR108" s="74"/>
      <c r="AS108" s="74"/>
      <c r="AT108" s="74"/>
      <c r="AU108" s="74"/>
      <c r="AV108" s="74"/>
      <c r="AW108" s="74"/>
      <c r="AX108" s="74"/>
      <c r="AY108" s="74"/>
      <c r="AZ108" s="74"/>
      <c r="BA108" s="74"/>
      <c r="BB108" s="74"/>
      <c r="BC108" s="74"/>
      <c r="BD108" s="74"/>
      <c r="BE108" s="74"/>
      <c r="BF108" s="74"/>
      <c r="BG108" s="74"/>
    </row>
    <row r="109" spans="2:59">
      <c r="B109" s="83">
        <v>104</v>
      </c>
      <c r="C109" s="252" t="s">
        <v>985</v>
      </c>
      <c r="D109" s="228" t="s">
        <v>986</v>
      </c>
      <c r="E109" s="228" t="s">
        <v>987</v>
      </c>
      <c r="F109" s="228" t="s">
        <v>5</v>
      </c>
      <c r="G109" s="228" t="s">
        <v>9</v>
      </c>
      <c r="H109" s="228" t="s">
        <v>113</v>
      </c>
      <c r="I109" s="228" t="s">
        <v>29</v>
      </c>
      <c r="J109" s="228" t="s">
        <v>112</v>
      </c>
      <c r="K109" s="229">
        <v>5</v>
      </c>
      <c r="L109" s="228" t="s">
        <v>112</v>
      </c>
      <c r="M109" s="229">
        <v>5</v>
      </c>
      <c r="N109" s="228" t="s">
        <v>112</v>
      </c>
      <c r="O109" s="229">
        <v>5</v>
      </c>
      <c r="P109" s="228" t="s">
        <v>112</v>
      </c>
      <c r="Q109" s="229">
        <v>5</v>
      </c>
      <c r="R109" s="229" t="s">
        <v>112</v>
      </c>
      <c r="S109" s="229">
        <v>5</v>
      </c>
      <c r="T109" s="229" t="s">
        <v>112</v>
      </c>
      <c r="U109" s="229">
        <v>5</v>
      </c>
      <c r="V109" s="229" t="s">
        <v>36</v>
      </c>
      <c r="W109" s="229">
        <v>4</v>
      </c>
      <c r="X109" s="229" t="s">
        <v>36</v>
      </c>
      <c r="Y109" s="229">
        <v>4</v>
      </c>
      <c r="Z109" s="229" t="s">
        <v>112</v>
      </c>
      <c r="AA109" s="229">
        <v>5</v>
      </c>
      <c r="AB109" s="233"/>
      <c r="AC109" s="10"/>
      <c r="AD109" s="72"/>
      <c r="AE109" s="72"/>
      <c r="AF109" s="72"/>
      <c r="AG109" s="72"/>
      <c r="AH109" s="72"/>
      <c r="AI109" s="73"/>
      <c r="AJ109" s="72"/>
      <c r="AK109" s="72"/>
      <c r="AL109" s="72"/>
      <c r="AM109" s="72"/>
      <c r="AN109" s="74"/>
      <c r="AO109" s="74"/>
      <c r="AP109" s="74"/>
      <c r="AQ109" s="74"/>
      <c r="AR109" s="74"/>
      <c r="AS109" s="74"/>
      <c r="AT109" s="74"/>
      <c r="AU109" s="74"/>
      <c r="AV109" s="74"/>
      <c r="AW109" s="74"/>
      <c r="AX109" s="74"/>
      <c r="AY109" s="74"/>
      <c r="AZ109" s="74"/>
      <c r="BA109" s="74"/>
      <c r="BB109" s="74"/>
      <c r="BC109" s="74"/>
      <c r="BD109" s="74"/>
      <c r="BE109" s="74"/>
      <c r="BF109" s="74"/>
      <c r="BG109" s="74"/>
    </row>
    <row r="110" spans="2:59">
      <c r="B110" s="83">
        <v>105</v>
      </c>
      <c r="C110" s="252"/>
      <c r="D110" s="228" t="s">
        <v>988</v>
      </c>
      <c r="E110" s="228" t="s">
        <v>989</v>
      </c>
      <c r="F110" s="228" t="s">
        <v>6</v>
      </c>
      <c r="G110" s="228" t="s">
        <v>9</v>
      </c>
      <c r="H110" s="228" t="s">
        <v>113</v>
      </c>
      <c r="I110" s="228" t="s">
        <v>30</v>
      </c>
      <c r="J110" s="228" t="s">
        <v>112</v>
      </c>
      <c r="K110" s="229">
        <v>5</v>
      </c>
      <c r="L110" s="228" t="s">
        <v>112</v>
      </c>
      <c r="M110" s="229">
        <v>5</v>
      </c>
      <c r="N110" s="228" t="s">
        <v>112</v>
      </c>
      <c r="O110" s="229">
        <v>5</v>
      </c>
      <c r="P110" s="228" t="s">
        <v>112</v>
      </c>
      <c r="Q110" s="229">
        <v>5</v>
      </c>
      <c r="R110" s="229" t="s">
        <v>112</v>
      </c>
      <c r="S110" s="229">
        <v>5</v>
      </c>
      <c r="T110" s="229" t="s">
        <v>112</v>
      </c>
      <c r="U110" s="229">
        <v>5</v>
      </c>
      <c r="V110" s="229" t="s">
        <v>112</v>
      </c>
      <c r="W110" s="229">
        <v>5</v>
      </c>
      <c r="X110" s="229" t="s">
        <v>112</v>
      </c>
      <c r="Y110" s="229">
        <v>5</v>
      </c>
      <c r="Z110" s="229" t="s">
        <v>112</v>
      </c>
      <c r="AA110" s="229">
        <v>5</v>
      </c>
      <c r="AB110" s="233"/>
      <c r="AC110" s="10"/>
      <c r="AD110" s="72"/>
      <c r="AE110" s="72"/>
      <c r="AF110" s="72"/>
      <c r="AG110" s="72"/>
      <c r="AH110" s="72"/>
      <c r="AI110" s="73"/>
      <c r="AJ110" s="72"/>
      <c r="AK110" s="72"/>
      <c r="AL110" s="72"/>
      <c r="AM110" s="72"/>
      <c r="AN110" s="74"/>
      <c r="AO110" s="74"/>
      <c r="AP110" s="74"/>
      <c r="AQ110" s="74"/>
      <c r="AR110" s="74"/>
      <c r="AS110" s="74"/>
      <c r="AT110" s="74"/>
      <c r="AU110" s="74"/>
      <c r="AV110" s="74"/>
      <c r="AW110" s="74"/>
      <c r="AX110" s="74"/>
      <c r="AY110" s="74"/>
      <c r="AZ110" s="74"/>
      <c r="BA110" s="74"/>
      <c r="BB110" s="74"/>
      <c r="BC110" s="74"/>
      <c r="BD110" s="74"/>
      <c r="BE110" s="74"/>
      <c r="BF110" s="74"/>
      <c r="BG110" s="74"/>
    </row>
    <row r="111" spans="2:59">
      <c r="B111" s="83">
        <v>106</v>
      </c>
      <c r="C111" s="252"/>
      <c r="D111" s="228" t="s">
        <v>990</v>
      </c>
      <c r="E111" s="228" t="s">
        <v>991</v>
      </c>
      <c r="F111" s="228" t="s">
        <v>6</v>
      </c>
      <c r="G111" s="228" t="s">
        <v>19</v>
      </c>
      <c r="H111" s="228" t="s">
        <v>113</v>
      </c>
      <c r="I111" s="228" t="s">
        <v>30</v>
      </c>
      <c r="J111" s="228" t="s">
        <v>112</v>
      </c>
      <c r="K111" s="229">
        <v>5</v>
      </c>
      <c r="L111" s="228" t="s">
        <v>112</v>
      </c>
      <c r="M111" s="229">
        <v>5</v>
      </c>
      <c r="N111" s="228" t="s">
        <v>112</v>
      </c>
      <c r="O111" s="229">
        <v>5</v>
      </c>
      <c r="P111" s="228" t="s">
        <v>36</v>
      </c>
      <c r="Q111" s="229">
        <v>4</v>
      </c>
      <c r="R111" s="229" t="s">
        <v>112</v>
      </c>
      <c r="S111" s="229">
        <v>5</v>
      </c>
      <c r="T111" s="229" t="s">
        <v>112</v>
      </c>
      <c r="U111" s="229">
        <v>5</v>
      </c>
      <c r="V111" s="229" t="s">
        <v>36</v>
      </c>
      <c r="W111" s="229">
        <v>4</v>
      </c>
      <c r="X111" s="229" t="s">
        <v>36</v>
      </c>
      <c r="Y111" s="229">
        <v>4</v>
      </c>
      <c r="Z111" s="229" t="s">
        <v>112</v>
      </c>
      <c r="AA111" s="229">
        <v>5</v>
      </c>
      <c r="AB111" s="233"/>
      <c r="AC111" s="10"/>
      <c r="AD111" s="72"/>
      <c r="AE111" s="72"/>
      <c r="AF111" s="72"/>
      <c r="AG111" s="72"/>
      <c r="AH111" s="72"/>
      <c r="AI111" s="73"/>
      <c r="AJ111" s="72"/>
      <c r="AK111" s="72"/>
      <c r="AL111" s="72"/>
      <c r="AM111" s="72"/>
      <c r="AN111" s="74"/>
      <c r="AO111" s="74"/>
      <c r="AP111" s="74"/>
      <c r="AQ111" s="74"/>
      <c r="AR111" s="74"/>
      <c r="AS111" s="74"/>
      <c r="AT111" s="74"/>
      <c r="AU111" s="74"/>
      <c r="AV111" s="74"/>
      <c r="AW111" s="74"/>
      <c r="AX111" s="74"/>
      <c r="AY111" s="74"/>
      <c r="AZ111" s="74"/>
      <c r="BA111" s="74"/>
      <c r="BB111" s="74"/>
      <c r="BC111" s="74"/>
      <c r="BD111" s="74"/>
      <c r="BE111" s="74"/>
      <c r="BF111" s="74"/>
      <c r="BG111" s="74"/>
    </row>
    <row r="112" spans="2:59">
      <c r="B112" s="83">
        <v>107</v>
      </c>
      <c r="C112" s="252"/>
      <c r="D112" s="228" t="s">
        <v>992</v>
      </c>
      <c r="E112" s="228" t="s">
        <v>993</v>
      </c>
      <c r="F112" s="228" t="s">
        <v>6</v>
      </c>
      <c r="G112" s="228" t="s">
        <v>19</v>
      </c>
      <c r="H112" s="228" t="s">
        <v>25</v>
      </c>
      <c r="I112" s="228" t="s">
        <v>30</v>
      </c>
      <c r="J112" s="228" t="s">
        <v>112</v>
      </c>
      <c r="K112" s="229">
        <v>5</v>
      </c>
      <c r="L112" s="228" t="s">
        <v>112</v>
      </c>
      <c r="M112" s="229">
        <v>5</v>
      </c>
      <c r="N112" s="228" t="s">
        <v>112</v>
      </c>
      <c r="O112" s="229">
        <v>5</v>
      </c>
      <c r="P112" s="228" t="s">
        <v>112</v>
      </c>
      <c r="Q112" s="229">
        <v>5</v>
      </c>
      <c r="R112" s="229" t="s">
        <v>112</v>
      </c>
      <c r="S112" s="229">
        <v>5</v>
      </c>
      <c r="T112" s="229" t="s">
        <v>112</v>
      </c>
      <c r="U112" s="229">
        <v>5</v>
      </c>
      <c r="V112" s="229" t="s">
        <v>112</v>
      </c>
      <c r="W112" s="229">
        <v>5</v>
      </c>
      <c r="X112" s="229" t="s">
        <v>112</v>
      </c>
      <c r="Y112" s="229">
        <v>5</v>
      </c>
      <c r="Z112" s="229" t="s">
        <v>112</v>
      </c>
      <c r="AA112" s="229">
        <v>5</v>
      </c>
      <c r="AB112" s="233"/>
      <c r="AC112" s="10"/>
      <c r="AD112" s="72"/>
      <c r="AE112" s="72"/>
      <c r="AF112" s="72"/>
      <c r="AG112" s="72"/>
      <c r="AH112" s="72"/>
      <c r="AI112" s="73"/>
      <c r="AJ112" s="72"/>
      <c r="AK112" s="72"/>
      <c r="AL112" s="72"/>
      <c r="AM112" s="72"/>
      <c r="AN112" s="74"/>
      <c r="AO112" s="74"/>
      <c r="AP112" s="74"/>
      <c r="AQ112" s="74"/>
      <c r="AR112" s="74"/>
      <c r="AS112" s="74"/>
      <c r="AT112" s="74"/>
      <c r="AU112" s="74"/>
      <c r="AV112" s="74"/>
      <c r="AW112" s="74"/>
      <c r="AX112" s="74"/>
      <c r="AY112" s="74"/>
      <c r="AZ112" s="74"/>
      <c r="BA112" s="74"/>
      <c r="BB112" s="74"/>
      <c r="BC112" s="74"/>
      <c r="BD112" s="74"/>
      <c r="BE112" s="74"/>
      <c r="BF112" s="74"/>
      <c r="BG112" s="74"/>
    </row>
    <row r="113" spans="2:59">
      <c r="B113" s="83">
        <v>108</v>
      </c>
      <c r="C113" s="252"/>
      <c r="D113" s="228" t="s">
        <v>994</v>
      </c>
      <c r="E113" s="228" t="s">
        <v>995</v>
      </c>
      <c r="F113" s="228" t="s">
        <v>6</v>
      </c>
      <c r="G113" s="228" t="s">
        <v>7</v>
      </c>
      <c r="H113" s="228" t="s">
        <v>26</v>
      </c>
      <c r="I113" s="228" t="s">
        <v>30</v>
      </c>
      <c r="J113" s="228" t="s">
        <v>112</v>
      </c>
      <c r="K113" s="229">
        <v>5</v>
      </c>
      <c r="L113" s="228" t="s">
        <v>112</v>
      </c>
      <c r="M113" s="229">
        <v>5</v>
      </c>
      <c r="N113" s="228" t="s">
        <v>36</v>
      </c>
      <c r="O113" s="229">
        <v>4</v>
      </c>
      <c r="P113" s="228" t="s">
        <v>36</v>
      </c>
      <c r="Q113" s="229">
        <v>4</v>
      </c>
      <c r="R113" s="229" t="s">
        <v>112</v>
      </c>
      <c r="S113" s="229">
        <v>5</v>
      </c>
      <c r="T113" s="229" t="s">
        <v>36</v>
      </c>
      <c r="U113" s="229">
        <v>4</v>
      </c>
      <c r="V113" s="229" t="s">
        <v>36</v>
      </c>
      <c r="W113" s="229">
        <v>4</v>
      </c>
      <c r="X113" s="229" t="s">
        <v>36</v>
      </c>
      <c r="Y113" s="229">
        <v>4</v>
      </c>
      <c r="Z113" s="229" t="s">
        <v>112</v>
      </c>
      <c r="AA113" s="229">
        <v>5</v>
      </c>
      <c r="AB113" s="233" t="s">
        <v>996</v>
      </c>
      <c r="AC113" s="10"/>
      <c r="AD113" s="72"/>
      <c r="AE113" s="72"/>
      <c r="AF113" s="72"/>
      <c r="AG113" s="72"/>
      <c r="AH113" s="72"/>
      <c r="AI113" s="73"/>
      <c r="AJ113" s="72"/>
      <c r="AK113" s="72"/>
      <c r="AL113" s="72"/>
      <c r="AM113" s="72"/>
      <c r="AN113" s="74"/>
      <c r="AO113" s="74"/>
      <c r="AP113" s="74"/>
      <c r="AQ113" s="74"/>
      <c r="AR113" s="74"/>
      <c r="AS113" s="74"/>
      <c r="AT113" s="74"/>
      <c r="AU113" s="74"/>
      <c r="AV113" s="74"/>
      <c r="AW113" s="74"/>
      <c r="AX113" s="74"/>
      <c r="AY113" s="74"/>
      <c r="AZ113" s="74"/>
      <c r="BA113" s="74"/>
      <c r="BB113" s="74"/>
      <c r="BC113" s="74"/>
      <c r="BD113" s="74"/>
      <c r="BE113" s="74"/>
      <c r="BF113" s="74"/>
      <c r="BG113" s="74"/>
    </row>
    <row r="114" spans="2:59">
      <c r="B114" s="83">
        <v>109</v>
      </c>
      <c r="C114" s="252"/>
      <c r="D114" s="228" t="s">
        <v>997</v>
      </c>
      <c r="E114" s="228" t="s">
        <v>998</v>
      </c>
      <c r="F114" s="228" t="s">
        <v>6</v>
      </c>
      <c r="G114" s="228" t="s">
        <v>9</v>
      </c>
      <c r="H114" s="228" t="s">
        <v>26</v>
      </c>
      <c r="I114" s="228" t="s">
        <v>30</v>
      </c>
      <c r="J114" s="228" t="s">
        <v>112</v>
      </c>
      <c r="K114" s="229">
        <v>5</v>
      </c>
      <c r="L114" s="228" t="s">
        <v>112</v>
      </c>
      <c r="M114" s="229">
        <v>5</v>
      </c>
      <c r="N114" s="228" t="s">
        <v>112</v>
      </c>
      <c r="O114" s="229">
        <v>5</v>
      </c>
      <c r="P114" s="228" t="s">
        <v>112</v>
      </c>
      <c r="Q114" s="229">
        <v>5</v>
      </c>
      <c r="R114" s="229" t="s">
        <v>112</v>
      </c>
      <c r="S114" s="229">
        <v>5</v>
      </c>
      <c r="T114" s="229" t="s">
        <v>112</v>
      </c>
      <c r="U114" s="229">
        <v>5</v>
      </c>
      <c r="V114" s="229" t="s">
        <v>112</v>
      </c>
      <c r="W114" s="229">
        <v>5</v>
      </c>
      <c r="X114" s="229" t="s">
        <v>112</v>
      </c>
      <c r="Y114" s="229">
        <v>5</v>
      </c>
      <c r="Z114" s="229" t="s">
        <v>112</v>
      </c>
      <c r="AA114" s="229">
        <v>5</v>
      </c>
      <c r="AB114" s="233"/>
      <c r="AC114" s="10"/>
      <c r="AD114" s="72"/>
      <c r="AE114" s="72"/>
      <c r="AF114" s="72"/>
      <c r="AG114" s="72"/>
      <c r="AH114" s="72"/>
      <c r="AI114" s="73"/>
      <c r="AJ114" s="72"/>
      <c r="AK114" s="72"/>
      <c r="AL114" s="72"/>
      <c r="AM114" s="72"/>
      <c r="AN114" s="74"/>
      <c r="AO114" s="74"/>
      <c r="AP114" s="74"/>
      <c r="AQ114" s="74"/>
      <c r="AR114" s="74"/>
      <c r="AS114" s="74"/>
      <c r="AT114" s="74"/>
      <c r="AU114" s="74"/>
      <c r="AV114" s="74"/>
      <c r="AW114" s="74"/>
      <c r="AX114" s="74"/>
      <c r="AY114" s="74"/>
      <c r="AZ114" s="74"/>
      <c r="BA114" s="74"/>
      <c r="BB114" s="74"/>
      <c r="BC114" s="74"/>
      <c r="BD114" s="74"/>
      <c r="BE114" s="74"/>
      <c r="BF114" s="74"/>
      <c r="BG114" s="74"/>
    </row>
    <row r="115" spans="2:59">
      <c r="B115" s="83">
        <v>110</v>
      </c>
      <c r="C115" s="252"/>
      <c r="D115" s="228" t="s">
        <v>999</v>
      </c>
      <c r="E115" s="228" t="s">
        <v>1000</v>
      </c>
      <c r="F115" s="228" t="s">
        <v>5</v>
      </c>
      <c r="G115" s="228" t="s">
        <v>9</v>
      </c>
      <c r="H115" s="228" t="s">
        <v>113</v>
      </c>
      <c r="I115" s="228" t="s">
        <v>32</v>
      </c>
      <c r="J115" s="228" t="s">
        <v>112</v>
      </c>
      <c r="K115" s="229">
        <v>5</v>
      </c>
      <c r="L115" s="228" t="s">
        <v>112</v>
      </c>
      <c r="M115" s="229">
        <v>5</v>
      </c>
      <c r="N115" s="228" t="s">
        <v>112</v>
      </c>
      <c r="O115" s="229">
        <v>5</v>
      </c>
      <c r="P115" s="228" t="s">
        <v>35</v>
      </c>
      <c r="Q115" s="229">
        <v>3</v>
      </c>
      <c r="R115" s="229" t="s">
        <v>112</v>
      </c>
      <c r="S115" s="229">
        <v>5</v>
      </c>
      <c r="T115" s="229" t="s">
        <v>112</v>
      </c>
      <c r="U115" s="229">
        <v>5</v>
      </c>
      <c r="V115" s="229" t="s">
        <v>112</v>
      </c>
      <c r="W115" s="229">
        <v>5</v>
      </c>
      <c r="X115" s="229" t="s">
        <v>112</v>
      </c>
      <c r="Y115" s="229">
        <v>5</v>
      </c>
      <c r="Z115" s="229" t="s">
        <v>112</v>
      </c>
      <c r="AA115" s="229">
        <v>5</v>
      </c>
      <c r="AB115" s="233" t="s">
        <v>1001</v>
      </c>
      <c r="AC115" s="72"/>
      <c r="AD115" s="72"/>
      <c r="AE115" s="72"/>
      <c r="AF115" s="72"/>
      <c r="AG115" s="72"/>
      <c r="AH115" s="72"/>
      <c r="AI115" s="73"/>
      <c r="AJ115" s="72"/>
      <c r="AK115" s="72"/>
      <c r="AL115" s="72"/>
      <c r="AM115" s="72"/>
      <c r="AN115" s="74"/>
      <c r="AO115" s="74"/>
      <c r="AP115" s="74"/>
      <c r="AQ115" s="74"/>
      <c r="AR115" s="74"/>
      <c r="AS115" s="74"/>
      <c r="AT115" s="74"/>
      <c r="AU115" s="74"/>
      <c r="AV115" s="74"/>
      <c r="AW115" s="74"/>
      <c r="AX115" s="74"/>
      <c r="AY115" s="74"/>
      <c r="AZ115" s="74"/>
      <c r="BA115" s="74"/>
      <c r="BB115" s="74"/>
      <c r="BC115" s="74"/>
      <c r="BD115" s="74"/>
      <c r="BE115" s="74"/>
      <c r="BF115" s="74"/>
      <c r="BG115" s="74"/>
    </row>
    <row r="116" spans="2:59">
      <c r="B116" s="83">
        <v>111</v>
      </c>
      <c r="C116" s="252"/>
      <c r="D116" s="228" t="s">
        <v>1002</v>
      </c>
      <c r="E116" s="228" t="s">
        <v>1003</v>
      </c>
      <c r="F116" s="228" t="s">
        <v>6</v>
      </c>
      <c r="G116" s="228" t="s">
        <v>9</v>
      </c>
      <c r="H116" s="228" t="s">
        <v>26</v>
      </c>
      <c r="I116" s="228" t="s">
        <v>30</v>
      </c>
      <c r="J116" s="228" t="s">
        <v>36</v>
      </c>
      <c r="K116" s="229">
        <v>4</v>
      </c>
      <c r="L116" s="228" t="s">
        <v>36</v>
      </c>
      <c r="M116" s="229">
        <v>4</v>
      </c>
      <c r="N116" s="228" t="s">
        <v>36</v>
      </c>
      <c r="O116" s="229">
        <v>4</v>
      </c>
      <c r="P116" s="228" t="s">
        <v>36</v>
      </c>
      <c r="Q116" s="229">
        <v>4</v>
      </c>
      <c r="R116" s="229" t="s">
        <v>36</v>
      </c>
      <c r="S116" s="229">
        <v>4</v>
      </c>
      <c r="T116" s="229" t="s">
        <v>35</v>
      </c>
      <c r="U116" s="229">
        <v>3</v>
      </c>
      <c r="V116" s="229" t="s">
        <v>35</v>
      </c>
      <c r="W116" s="229">
        <v>3</v>
      </c>
      <c r="X116" s="229" t="s">
        <v>36</v>
      </c>
      <c r="Y116" s="229">
        <v>4</v>
      </c>
      <c r="Z116" s="229" t="s">
        <v>112</v>
      </c>
      <c r="AA116" s="229">
        <v>5</v>
      </c>
      <c r="AB116" s="233" t="s">
        <v>1004</v>
      </c>
      <c r="AC116" s="72"/>
      <c r="AD116" s="72"/>
      <c r="AE116" s="72"/>
      <c r="AF116" s="72"/>
      <c r="AG116" s="72"/>
      <c r="AH116" s="72"/>
      <c r="AI116" s="73"/>
      <c r="AJ116" s="72"/>
      <c r="AK116" s="72"/>
      <c r="AL116" s="72"/>
      <c r="AM116" s="72"/>
      <c r="AN116" s="74"/>
      <c r="AO116" s="74"/>
      <c r="AP116" s="74"/>
      <c r="AQ116" s="74"/>
      <c r="AR116" s="74"/>
      <c r="AS116" s="74"/>
      <c r="AT116" s="74"/>
      <c r="AU116" s="74"/>
      <c r="AV116" s="74"/>
      <c r="AW116" s="74"/>
      <c r="AX116" s="74"/>
      <c r="AY116" s="74"/>
      <c r="AZ116" s="74"/>
      <c r="BA116" s="74"/>
      <c r="BB116" s="74"/>
      <c r="BC116" s="74"/>
      <c r="BD116" s="74"/>
      <c r="BE116" s="74"/>
      <c r="BF116" s="74"/>
      <c r="BG116" s="74"/>
    </row>
    <row r="117" spans="2:59">
      <c r="B117" s="83">
        <v>112</v>
      </c>
      <c r="C117" s="252"/>
      <c r="D117" s="228" t="s">
        <v>1005</v>
      </c>
      <c r="E117" s="228" t="s">
        <v>1006</v>
      </c>
      <c r="F117" s="228" t="s">
        <v>5</v>
      </c>
      <c r="G117" s="228" t="s">
        <v>14</v>
      </c>
      <c r="H117" s="228" t="s">
        <v>26</v>
      </c>
      <c r="I117" s="228" t="s">
        <v>752</v>
      </c>
      <c r="J117" s="228" t="s">
        <v>112</v>
      </c>
      <c r="K117" s="229">
        <v>5</v>
      </c>
      <c r="L117" s="228" t="s">
        <v>112</v>
      </c>
      <c r="M117" s="229">
        <v>5</v>
      </c>
      <c r="N117" s="228" t="s">
        <v>112</v>
      </c>
      <c r="O117" s="229">
        <v>5</v>
      </c>
      <c r="P117" s="228" t="s">
        <v>36</v>
      </c>
      <c r="Q117" s="229">
        <v>4</v>
      </c>
      <c r="R117" s="229" t="s">
        <v>36</v>
      </c>
      <c r="S117" s="229">
        <v>4</v>
      </c>
      <c r="T117" s="229" t="s">
        <v>112</v>
      </c>
      <c r="U117" s="229">
        <v>5</v>
      </c>
      <c r="V117" s="229" t="s">
        <v>112</v>
      </c>
      <c r="W117" s="229">
        <v>5</v>
      </c>
      <c r="X117" s="229" t="s">
        <v>112</v>
      </c>
      <c r="Y117" s="229">
        <v>5</v>
      </c>
      <c r="Z117" s="229" t="s">
        <v>112</v>
      </c>
      <c r="AA117" s="229">
        <v>5</v>
      </c>
      <c r="AB117" s="233"/>
      <c r="AC117" s="72"/>
      <c r="AD117" s="72"/>
      <c r="AE117" s="72"/>
      <c r="AF117" s="72"/>
      <c r="AG117" s="72"/>
      <c r="AH117" s="72"/>
      <c r="AI117" s="73"/>
      <c r="AJ117" s="72"/>
      <c r="AK117" s="72"/>
      <c r="AL117" s="72"/>
      <c r="AM117" s="72"/>
      <c r="AN117" s="74"/>
      <c r="AO117" s="74"/>
      <c r="AP117" s="74"/>
      <c r="AQ117" s="74"/>
      <c r="AR117" s="74"/>
      <c r="AS117" s="74"/>
      <c r="AT117" s="74"/>
      <c r="AU117" s="74"/>
      <c r="AV117" s="74"/>
      <c r="AW117" s="74"/>
      <c r="AX117" s="74"/>
      <c r="AY117" s="74"/>
      <c r="AZ117" s="74"/>
      <c r="BA117" s="74"/>
      <c r="BB117" s="74"/>
      <c r="BC117" s="74"/>
      <c r="BD117" s="74"/>
      <c r="BE117" s="74"/>
      <c r="BF117" s="74"/>
      <c r="BG117" s="74"/>
    </row>
    <row r="118" spans="2:59">
      <c r="B118" s="83">
        <v>113</v>
      </c>
      <c r="C118" s="252"/>
      <c r="D118" s="228" t="s">
        <v>1007</v>
      </c>
      <c r="E118" s="228" t="s">
        <v>1008</v>
      </c>
      <c r="F118" s="228" t="s">
        <v>6</v>
      </c>
      <c r="G118" s="228" t="s">
        <v>17</v>
      </c>
      <c r="H118" s="228" t="s">
        <v>25</v>
      </c>
      <c r="I118" s="228" t="s">
        <v>30</v>
      </c>
      <c r="J118" s="228" t="s">
        <v>112</v>
      </c>
      <c r="K118" s="229">
        <v>5</v>
      </c>
      <c r="L118" s="228" t="s">
        <v>112</v>
      </c>
      <c r="M118" s="229">
        <v>5</v>
      </c>
      <c r="N118" s="228" t="s">
        <v>112</v>
      </c>
      <c r="O118" s="229">
        <v>5</v>
      </c>
      <c r="P118" s="228" t="s">
        <v>36</v>
      </c>
      <c r="Q118" s="229">
        <v>4</v>
      </c>
      <c r="R118" s="229" t="s">
        <v>112</v>
      </c>
      <c r="S118" s="229">
        <v>5</v>
      </c>
      <c r="T118" s="229" t="s">
        <v>112</v>
      </c>
      <c r="U118" s="229">
        <v>5</v>
      </c>
      <c r="V118" s="229" t="s">
        <v>36</v>
      </c>
      <c r="W118" s="229">
        <v>4</v>
      </c>
      <c r="X118" s="229" t="s">
        <v>36</v>
      </c>
      <c r="Y118" s="229">
        <v>4</v>
      </c>
      <c r="Z118" s="229" t="s">
        <v>36</v>
      </c>
      <c r="AA118" s="229">
        <v>4</v>
      </c>
      <c r="AB118" s="233"/>
      <c r="AC118" s="72"/>
      <c r="AD118" s="72"/>
      <c r="AE118" s="72"/>
      <c r="AF118" s="72"/>
      <c r="AG118" s="72"/>
      <c r="AH118" s="72"/>
      <c r="AI118" s="73"/>
      <c r="AJ118" s="72"/>
      <c r="AK118" s="72"/>
      <c r="AL118" s="72"/>
      <c r="AM118" s="72"/>
      <c r="AN118" s="74"/>
      <c r="AO118" s="74"/>
      <c r="AP118" s="74"/>
      <c r="AQ118" s="74"/>
      <c r="AR118" s="74"/>
      <c r="AS118" s="74"/>
      <c r="AT118" s="74"/>
      <c r="AU118" s="74"/>
      <c r="AV118" s="74"/>
      <c r="AW118" s="74"/>
      <c r="AX118" s="74"/>
      <c r="AY118" s="74"/>
      <c r="AZ118" s="74"/>
      <c r="BA118" s="74"/>
      <c r="BB118" s="74"/>
      <c r="BC118" s="74"/>
      <c r="BD118" s="74"/>
      <c r="BE118" s="74"/>
      <c r="BF118" s="74"/>
      <c r="BG118" s="74"/>
    </row>
    <row r="119" spans="2:59">
      <c r="B119" s="83">
        <v>114</v>
      </c>
      <c r="C119" s="252"/>
      <c r="D119" s="228" t="s">
        <v>1009</v>
      </c>
      <c r="E119" s="228" t="s">
        <v>1010</v>
      </c>
      <c r="F119" s="228" t="s">
        <v>6</v>
      </c>
      <c r="G119" s="228" t="s">
        <v>18</v>
      </c>
      <c r="H119" s="228" t="s">
        <v>26</v>
      </c>
      <c r="I119" s="228" t="s">
        <v>29</v>
      </c>
      <c r="J119" s="228" t="s">
        <v>112</v>
      </c>
      <c r="K119" s="229">
        <v>5</v>
      </c>
      <c r="L119" s="228" t="s">
        <v>112</v>
      </c>
      <c r="M119" s="229">
        <v>5</v>
      </c>
      <c r="N119" s="228" t="s">
        <v>112</v>
      </c>
      <c r="O119" s="229">
        <v>5</v>
      </c>
      <c r="P119" s="228" t="s">
        <v>36</v>
      </c>
      <c r="Q119" s="229">
        <v>4</v>
      </c>
      <c r="R119" s="229" t="s">
        <v>36</v>
      </c>
      <c r="S119" s="229">
        <v>4</v>
      </c>
      <c r="T119" s="229" t="s">
        <v>36</v>
      </c>
      <c r="U119" s="229">
        <v>4</v>
      </c>
      <c r="V119" s="229" t="s">
        <v>36</v>
      </c>
      <c r="W119" s="229">
        <v>4</v>
      </c>
      <c r="X119" s="229" t="s">
        <v>36</v>
      </c>
      <c r="Y119" s="229">
        <v>4</v>
      </c>
      <c r="Z119" s="229" t="s">
        <v>36</v>
      </c>
      <c r="AA119" s="229">
        <v>4</v>
      </c>
      <c r="AB119" s="233"/>
      <c r="AC119" s="72"/>
      <c r="AD119" s="72"/>
      <c r="AE119" s="72"/>
      <c r="AF119" s="72"/>
      <c r="AG119" s="72"/>
      <c r="AH119" s="72"/>
      <c r="AI119" s="73"/>
      <c r="AJ119" s="72"/>
      <c r="AK119" s="72"/>
      <c r="AL119" s="72"/>
      <c r="AM119" s="72"/>
      <c r="AN119" s="74"/>
      <c r="AO119" s="74"/>
      <c r="AP119" s="74"/>
      <c r="AQ119" s="74"/>
      <c r="AR119" s="74"/>
      <c r="AS119" s="74"/>
      <c r="AT119" s="74"/>
      <c r="AU119" s="74"/>
      <c r="AV119" s="74"/>
      <c r="AW119" s="74"/>
      <c r="AX119" s="74"/>
      <c r="AY119" s="74"/>
      <c r="AZ119" s="74"/>
      <c r="BA119" s="74"/>
      <c r="BB119" s="74"/>
      <c r="BC119" s="74"/>
      <c r="BD119" s="74"/>
      <c r="BE119" s="74"/>
      <c r="BF119" s="74"/>
      <c r="BG119" s="74"/>
    </row>
    <row r="120" spans="2:59">
      <c r="B120" s="83">
        <v>115</v>
      </c>
      <c r="C120" s="252"/>
      <c r="D120" s="228" t="s">
        <v>1011</v>
      </c>
      <c r="E120" s="228" t="s">
        <v>1012</v>
      </c>
      <c r="F120" s="228" t="s">
        <v>6</v>
      </c>
      <c r="G120" s="228" t="s">
        <v>9</v>
      </c>
      <c r="H120" s="228" t="s">
        <v>25</v>
      </c>
      <c r="I120" s="228" t="s">
        <v>28</v>
      </c>
      <c r="J120" s="228" t="s">
        <v>112</v>
      </c>
      <c r="K120" s="229">
        <v>5</v>
      </c>
      <c r="L120" s="228" t="s">
        <v>112</v>
      </c>
      <c r="M120" s="229">
        <v>5</v>
      </c>
      <c r="N120" s="228" t="s">
        <v>112</v>
      </c>
      <c r="O120" s="229">
        <v>5</v>
      </c>
      <c r="P120" s="228" t="s">
        <v>112</v>
      </c>
      <c r="Q120" s="229">
        <v>5</v>
      </c>
      <c r="R120" s="229" t="s">
        <v>112</v>
      </c>
      <c r="S120" s="229">
        <v>5</v>
      </c>
      <c r="T120" s="229" t="s">
        <v>112</v>
      </c>
      <c r="U120" s="229">
        <v>5</v>
      </c>
      <c r="V120" s="229" t="s">
        <v>112</v>
      </c>
      <c r="W120" s="229">
        <v>5</v>
      </c>
      <c r="X120" s="229" t="s">
        <v>112</v>
      </c>
      <c r="Y120" s="229">
        <v>5</v>
      </c>
      <c r="Z120" s="229" t="s">
        <v>112</v>
      </c>
      <c r="AA120" s="229">
        <v>5</v>
      </c>
      <c r="AB120" s="233" t="s">
        <v>1013</v>
      </c>
      <c r="AC120" s="72"/>
      <c r="AD120" s="72"/>
      <c r="AE120" s="72"/>
      <c r="AF120" s="72"/>
      <c r="AG120" s="72"/>
      <c r="AH120" s="72"/>
      <c r="AI120" s="73"/>
      <c r="AJ120" s="72"/>
      <c r="AK120" s="72"/>
      <c r="AL120" s="72"/>
      <c r="AM120" s="72"/>
      <c r="AN120" s="74"/>
      <c r="AO120" s="74"/>
      <c r="AP120" s="74"/>
      <c r="AQ120" s="74"/>
      <c r="AR120" s="74"/>
      <c r="AS120" s="74"/>
      <c r="AT120" s="74"/>
      <c r="AU120" s="74"/>
      <c r="AV120" s="74"/>
      <c r="AW120" s="74"/>
      <c r="AX120" s="74"/>
      <c r="AY120" s="74"/>
      <c r="AZ120" s="74"/>
      <c r="BA120" s="74"/>
      <c r="BB120" s="74"/>
      <c r="BC120" s="74"/>
      <c r="BD120" s="74"/>
      <c r="BE120" s="74"/>
      <c r="BF120" s="74"/>
      <c r="BG120" s="74"/>
    </row>
    <row r="121" spans="2:59">
      <c r="B121" s="83">
        <v>116</v>
      </c>
      <c r="C121" s="252"/>
      <c r="D121" s="228" t="s">
        <v>1014</v>
      </c>
      <c r="E121" s="228" t="s">
        <v>1015</v>
      </c>
      <c r="F121" s="228" t="s">
        <v>5</v>
      </c>
      <c r="G121" s="228" t="s">
        <v>19</v>
      </c>
      <c r="H121" s="228" t="s">
        <v>113</v>
      </c>
      <c r="I121" s="228" t="s">
        <v>32</v>
      </c>
      <c r="J121" s="228" t="s">
        <v>112</v>
      </c>
      <c r="K121" s="229">
        <v>5</v>
      </c>
      <c r="L121" s="228" t="s">
        <v>112</v>
      </c>
      <c r="M121" s="229">
        <v>5</v>
      </c>
      <c r="N121" s="228" t="s">
        <v>112</v>
      </c>
      <c r="O121" s="229">
        <v>5</v>
      </c>
      <c r="P121" s="228" t="s">
        <v>112</v>
      </c>
      <c r="Q121" s="229">
        <v>5</v>
      </c>
      <c r="R121" s="229" t="s">
        <v>112</v>
      </c>
      <c r="S121" s="229">
        <v>5</v>
      </c>
      <c r="T121" s="229" t="s">
        <v>112</v>
      </c>
      <c r="U121" s="229">
        <v>5</v>
      </c>
      <c r="V121" s="229" t="s">
        <v>112</v>
      </c>
      <c r="W121" s="229">
        <v>5</v>
      </c>
      <c r="X121" s="229" t="s">
        <v>112</v>
      </c>
      <c r="Y121" s="229">
        <v>5</v>
      </c>
      <c r="Z121" s="229" t="s">
        <v>112</v>
      </c>
      <c r="AA121" s="229">
        <v>5</v>
      </c>
      <c r="AB121" s="233"/>
      <c r="AC121" s="72"/>
      <c r="AD121" s="72"/>
      <c r="AE121" s="72"/>
      <c r="AF121" s="72"/>
      <c r="AG121" s="72"/>
      <c r="AH121" s="72"/>
      <c r="AI121" s="73"/>
      <c r="AJ121" s="72"/>
      <c r="AK121" s="72"/>
      <c r="AL121" s="72"/>
      <c r="AM121" s="72"/>
      <c r="AN121" s="74"/>
      <c r="AO121" s="74"/>
      <c r="AP121" s="74"/>
      <c r="AQ121" s="74"/>
      <c r="AR121" s="74"/>
      <c r="AS121" s="74"/>
      <c r="AT121" s="74"/>
      <c r="AU121" s="74"/>
      <c r="AV121" s="74"/>
      <c r="AW121" s="74"/>
      <c r="AX121" s="74"/>
      <c r="AY121" s="74"/>
      <c r="AZ121" s="74"/>
      <c r="BA121" s="74"/>
      <c r="BB121" s="74"/>
      <c r="BC121" s="74"/>
      <c r="BD121" s="74"/>
      <c r="BE121" s="74"/>
      <c r="BF121" s="74"/>
      <c r="BG121" s="74"/>
    </row>
    <row r="122" spans="2:59">
      <c r="B122" s="83">
        <v>117</v>
      </c>
      <c r="C122" s="252"/>
      <c r="D122" s="228" t="s">
        <v>1016</v>
      </c>
      <c r="E122" s="228" t="s">
        <v>1017</v>
      </c>
      <c r="F122" s="228" t="s">
        <v>6</v>
      </c>
      <c r="G122" s="228" t="s">
        <v>11</v>
      </c>
      <c r="H122" s="228" t="s">
        <v>26</v>
      </c>
      <c r="I122" s="228" t="s">
        <v>30</v>
      </c>
      <c r="J122" s="228" t="s">
        <v>36</v>
      </c>
      <c r="K122" s="229">
        <v>4</v>
      </c>
      <c r="L122" s="228" t="s">
        <v>36</v>
      </c>
      <c r="M122" s="229">
        <v>4</v>
      </c>
      <c r="N122" s="228" t="s">
        <v>36</v>
      </c>
      <c r="O122" s="229">
        <v>4</v>
      </c>
      <c r="P122" s="228" t="s">
        <v>36</v>
      </c>
      <c r="Q122" s="229">
        <v>4</v>
      </c>
      <c r="R122" s="229" t="s">
        <v>36</v>
      </c>
      <c r="S122" s="229">
        <v>4</v>
      </c>
      <c r="T122" s="229" t="s">
        <v>36</v>
      </c>
      <c r="U122" s="229">
        <v>4</v>
      </c>
      <c r="V122" s="229" t="s">
        <v>36</v>
      </c>
      <c r="W122" s="229">
        <v>4</v>
      </c>
      <c r="X122" s="229" t="s">
        <v>36</v>
      </c>
      <c r="Y122" s="229">
        <v>4</v>
      </c>
      <c r="Z122" s="229" t="s">
        <v>36</v>
      </c>
      <c r="AA122" s="229">
        <v>4</v>
      </c>
      <c r="AB122" s="233" t="s">
        <v>1018</v>
      </c>
      <c r="AC122" s="72"/>
      <c r="AD122" s="72"/>
      <c r="AE122" s="72"/>
      <c r="AF122" s="72"/>
      <c r="AG122" s="72"/>
      <c r="AH122" s="72"/>
      <c r="AI122" s="73"/>
      <c r="AJ122" s="72"/>
      <c r="AK122" s="72"/>
      <c r="AL122" s="72"/>
      <c r="AM122" s="72"/>
      <c r="AN122" s="74"/>
      <c r="AO122" s="74"/>
      <c r="AP122" s="74"/>
      <c r="AQ122" s="74"/>
      <c r="AR122" s="74"/>
      <c r="AS122" s="74"/>
      <c r="AT122" s="74"/>
      <c r="AU122" s="74"/>
      <c r="AV122" s="74"/>
      <c r="AW122" s="74"/>
      <c r="AX122" s="74"/>
      <c r="AY122" s="74"/>
      <c r="AZ122" s="74"/>
      <c r="BA122" s="74"/>
      <c r="BB122" s="74"/>
      <c r="BC122" s="74"/>
      <c r="BD122" s="74"/>
      <c r="BE122" s="74"/>
      <c r="BF122" s="74"/>
      <c r="BG122" s="74"/>
    </row>
    <row r="123" spans="2:59">
      <c r="B123" s="83">
        <v>118</v>
      </c>
      <c r="C123" s="252"/>
      <c r="D123" s="228" t="s">
        <v>1019</v>
      </c>
      <c r="E123" s="228" t="s">
        <v>1020</v>
      </c>
      <c r="F123" s="228" t="s">
        <v>6</v>
      </c>
      <c r="G123" s="228" t="s">
        <v>9</v>
      </c>
      <c r="H123" s="228" t="s">
        <v>113</v>
      </c>
      <c r="I123" s="228" t="s">
        <v>30</v>
      </c>
      <c r="J123" s="228" t="s">
        <v>112</v>
      </c>
      <c r="K123" s="229">
        <v>5</v>
      </c>
      <c r="L123" s="228" t="s">
        <v>112</v>
      </c>
      <c r="M123" s="229">
        <v>5</v>
      </c>
      <c r="N123" s="228" t="s">
        <v>112</v>
      </c>
      <c r="O123" s="229">
        <v>5</v>
      </c>
      <c r="P123" s="228" t="s">
        <v>112</v>
      </c>
      <c r="Q123" s="229">
        <v>5</v>
      </c>
      <c r="R123" s="229" t="s">
        <v>112</v>
      </c>
      <c r="S123" s="229">
        <v>5</v>
      </c>
      <c r="T123" s="229" t="s">
        <v>112</v>
      </c>
      <c r="U123" s="229">
        <v>5</v>
      </c>
      <c r="V123" s="229" t="s">
        <v>112</v>
      </c>
      <c r="W123" s="229">
        <v>5</v>
      </c>
      <c r="X123" s="229" t="s">
        <v>112</v>
      </c>
      <c r="Y123" s="229">
        <v>5</v>
      </c>
      <c r="Z123" s="229" t="s">
        <v>36</v>
      </c>
      <c r="AA123" s="229">
        <v>4</v>
      </c>
      <c r="AB123" s="233" t="s">
        <v>1021</v>
      </c>
      <c r="AC123" s="72"/>
      <c r="AD123" s="72"/>
      <c r="AE123" s="72"/>
      <c r="AF123" s="72"/>
      <c r="AG123" s="72"/>
      <c r="AH123" s="72"/>
      <c r="AI123" s="73"/>
      <c r="AJ123" s="72"/>
      <c r="AK123" s="72"/>
      <c r="AL123" s="72"/>
      <c r="AM123" s="72"/>
      <c r="AN123" s="74"/>
      <c r="AO123" s="74"/>
      <c r="AP123" s="74"/>
      <c r="AQ123" s="74"/>
      <c r="AR123" s="74"/>
      <c r="AS123" s="74"/>
      <c r="AT123" s="74"/>
      <c r="AU123" s="74"/>
      <c r="AV123" s="74"/>
      <c r="AW123" s="74"/>
      <c r="AX123" s="74"/>
      <c r="AY123" s="74"/>
      <c r="AZ123" s="74"/>
      <c r="BA123" s="74"/>
      <c r="BB123" s="74"/>
      <c r="BC123" s="74"/>
      <c r="BD123" s="74"/>
      <c r="BE123" s="74"/>
      <c r="BF123" s="74"/>
      <c r="BG123" s="74"/>
    </row>
    <row r="124" spans="2:59">
      <c r="B124" s="83">
        <v>119</v>
      </c>
      <c r="C124" s="252"/>
      <c r="D124" s="228" t="s">
        <v>1022</v>
      </c>
      <c r="E124" s="228" t="s">
        <v>1023</v>
      </c>
      <c r="F124" s="228" t="s">
        <v>5</v>
      </c>
      <c r="G124" s="228" t="s">
        <v>18</v>
      </c>
      <c r="H124" s="228" t="s">
        <v>25</v>
      </c>
      <c r="I124" s="228" t="s">
        <v>28</v>
      </c>
      <c r="J124" s="228" t="s">
        <v>112</v>
      </c>
      <c r="K124" s="229">
        <v>5</v>
      </c>
      <c r="L124" s="228" t="s">
        <v>112</v>
      </c>
      <c r="M124" s="229">
        <v>5</v>
      </c>
      <c r="N124" s="228" t="s">
        <v>112</v>
      </c>
      <c r="O124" s="229">
        <v>5</v>
      </c>
      <c r="P124" s="228" t="s">
        <v>112</v>
      </c>
      <c r="Q124" s="229">
        <v>5</v>
      </c>
      <c r="R124" s="229" t="s">
        <v>112</v>
      </c>
      <c r="S124" s="229">
        <v>5</v>
      </c>
      <c r="T124" s="229" t="s">
        <v>112</v>
      </c>
      <c r="U124" s="229">
        <v>5</v>
      </c>
      <c r="V124" s="229" t="s">
        <v>112</v>
      </c>
      <c r="W124" s="229">
        <v>5</v>
      </c>
      <c r="X124" s="229" t="s">
        <v>112</v>
      </c>
      <c r="Y124" s="229">
        <v>5</v>
      </c>
      <c r="Z124" s="229" t="s">
        <v>112</v>
      </c>
      <c r="AA124" s="229">
        <v>5</v>
      </c>
      <c r="AB124" s="233" t="s">
        <v>1024</v>
      </c>
      <c r="AC124" s="72"/>
      <c r="AD124" s="72"/>
      <c r="AE124" s="72"/>
      <c r="AF124" s="72"/>
      <c r="AG124" s="72"/>
      <c r="AH124" s="72"/>
      <c r="AI124" s="73"/>
      <c r="AJ124" s="72"/>
      <c r="AK124" s="72"/>
      <c r="AL124" s="72"/>
      <c r="AM124" s="72"/>
      <c r="AN124" s="74"/>
      <c r="AO124" s="74"/>
      <c r="AP124" s="74"/>
      <c r="AQ124" s="74"/>
      <c r="AR124" s="74"/>
      <c r="AS124" s="74"/>
      <c r="AT124" s="74"/>
      <c r="AU124" s="74"/>
      <c r="AV124" s="74"/>
      <c r="AW124" s="74"/>
      <c r="AX124" s="74"/>
      <c r="AY124" s="74"/>
      <c r="AZ124" s="74"/>
      <c r="BA124" s="74"/>
      <c r="BB124" s="74"/>
      <c r="BC124" s="74"/>
      <c r="BD124" s="74"/>
      <c r="BE124" s="74"/>
      <c r="BF124" s="74"/>
      <c r="BG124" s="74"/>
    </row>
    <row r="125" spans="2:59">
      <c r="B125" s="83">
        <v>120</v>
      </c>
      <c r="C125" s="252"/>
      <c r="D125" s="228" t="s">
        <v>1025</v>
      </c>
      <c r="E125" s="228" t="s">
        <v>1026</v>
      </c>
      <c r="F125" s="228" t="s">
        <v>5</v>
      </c>
      <c r="G125" s="228" t="s">
        <v>18</v>
      </c>
      <c r="H125" s="228" t="s">
        <v>26</v>
      </c>
      <c r="I125" s="228" t="s">
        <v>29</v>
      </c>
      <c r="J125" s="228" t="s">
        <v>112</v>
      </c>
      <c r="K125" s="229">
        <v>5</v>
      </c>
      <c r="L125" s="228" t="s">
        <v>112</v>
      </c>
      <c r="M125" s="229">
        <v>5</v>
      </c>
      <c r="N125" s="228" t="s">
        <v>112</v>
      </c>
      <c r="O125" s="229">
        <v>5</v>
      </c>
      <c r="P125" s="228" t="s">
        <v>112</v>
      </c>
      <c r="Q125" s="229">
        <v>5</v>
      </c>
      <c r="R125" s="229" t="s">
        <v>112</v>
      </c>
      <c r="S125" s="229">
        <v>5</v>
      </c>
      <c r="T125" s="229" t="s">
        <v>112</v>
      </c>
      <c r="U125" s="229">
        <v>5</v>
      </c>
      <c r="V125" s="229" t="s">
        <v>112</v>
      </c>
      <c r="W125" s="229">
        <v>5</v>
      </c>
      <c r="X125" s="229" t="s">
        <v>112</v>
      </c>
      <c r="Y125" s="229">
        <v>5</v>
      </c>
      <c r="Z125" s="229" t="s">
        <v>112</v>
      </c>
      <c r="AA125" s="229">
        <v>5</v>
      </c>
      <c r="AB125" s="233"/>
      <c r="AC125" s="72"/>
      <c r="AD125" s="72"/>
      <c r="AE125" s="72"/>
      <c r="AF125" s="72"/>
      <c r="AG125" s="72"/>
      <c r="AH125" s="72"/>
      <c r="AI125" s="73"/>
      <c r="AJ125" s="72"/>
      <c r="AK125" s="72"/>
      <c r="AL125" s="72"/>
      <c r="AM125" s="72"/>
      <c r="AN125" s="74"/>
      <c r="AO125" s="74"/>
      <c r="AP125" s="74"/>
      <c r="AQ125" s="74"/>
      <c r="AR125" s="74"/>
      <c r="AS125" s="74"/>
      <c r="AT125" s="74"/>
      <c r="AU125" s="74"/>
      <c r="AV125" s="74"/>
      <c r="AW125" s="74"/>
      <c r="AX125" s="74"/>
      <c r="AY125" s="74"/>
      <c r="AZ125" s="74"/>
      <c r="BA125" s="74"/>
      <c r="BB125" s="74"/>
      <c r="BC125" s="74"/>
      <c r="BD125" s="74"/>
      <c r="BE125" s="74"/>
      <c r="BF125" s="74"/>
      <c r="BG125" s="74"/>
    </row>
    <row r="126" spans="2:59">
      <c r="B126" s="83">
        <v>121</v>
      </c>
      <c r="C126" s="252"/>
      <c r="D126" s="228" t="s">
        <v>1027</v>
      </c>
      <c r="E126" s="228" t="s">
        <v>1028</v>
      </c>
      <c r="F126" s="228" t="s">
        <v>5</v>
      </c>
      <c r="G126" s="228" t="s">
        <v>19</v>
      </c>
      <c r="H126" s="228" t="s">
        <v>113</v>
      </c>
      <c r="I126" s="228" t="s">
        <v>32</v>
      </c>
      <c r="J126" s="228" t="s">
        <v>112</v>
      </c>
      <c r="K126" s="229">
        <v>5</v>
      </c>
      <c r="L126" s="228" t="s">
        <v>112</v>
      </c>
      <c r="M126" s="229">
        <v>5</v>
      </c>
      <c r="N126" s="228" t="s">
        <v>112</v>
      </c>
      <c r="O126" s="229">
        <v>5</v>
      </c>
      <c r="P126" s="228" t="s">
        <v>36</v>
      </c>
      <c r="Q126" s="229">
        <v>4</v>
      </c>
      <c r="R126" s="229" t="s">
        <v>36</v>
      </c>
      <c r="S126" s="229">
        <v>4</v>
      </c>
      <c r="T126" s="229" t="s">
        <v>36</v>
      </c>
      <c r="U126" s="229">
        <v>4</v>
      </c>
      <c r="V126" s="229" t="s">
        <v>36</v>
      </c>
      <c r="W126" s="229">
        <v>4</v>
      </c>
      <c r="X126" s="229" t="s">
        <v>36</v>
      </c>
      <c r="Y126" s="229">
        <v>4</v>
      </c>
      <c r="Z126" s="229" t="s">
        <v>112</v>
      </c>
      <c r="AA126" s="229">
        <v>5</v>
      </c>
      <c r="AB126" s="233" t="s">
        <v>1029</v>
      </c>
      <c r="AC126" s="72"/>
      <c r="AD126" s="72"/>
      <c r="AE126" s="72"/>
      <c r="AF126" s="72"/>
      <c r="AG126" s="72"/>
      <c r="AH126" s="72"/>
      <c r="AI126" s="73"/>
      <c r="AJ126" s="72"/>
      <c r="AK126" s="72"/>
      <c r="AL126" s="72"/>
      <c r="AM126" s="72"/>
      <c r="AN126" s="74"/>
      <c r="AO126" s="74"/>
      <c r="AP126" s="74"/>
      <c r="AQ126" s="74"/>
      <c r="AR126" s="74"/>
      <c r="AS126" s="74"/>
      <c r="AT126" s="74"/>
      <c r="AU126" s="74"/>
      <c r="AV126" s="74"/>
      <c r="AW126" s="74"/>
      <c r="AX126" s="74"/>
      <c r="AY126" s="74"/>
      <c r="AZ126" s="74"/>
      <c r="BA126" s="74"/>
      <c r="BB126" s="74"/>
      <c r="BC126" s="74"/>
      <c r="BD126" s="74"/>
      <c r="BE126" s="74"/>
      <c r="BF126" s="74"/>
      <c r="BG126" s="74"/>
    </row>
    <row r="127" spans="2:59">
      <c r="B127" s="83">
        <v>122</v>
      </c>
      <c r="C127" s="252"/>
      <c r="D127" s="228" t="s">
        <v>1030</v>
      </c>
      <c r="E127" s="228" t="s">
        <v>1031</v>
      </c>
      <c r="F127" s="228" t="s">
        <v>5</v>
      </c>
      <c r="G127" s="228" t="s">
        <v>13</v>
      </c>
      <c r="H127" s="228" t="s">
        <v>113</v>
      </c>
      <c r="I127" s="228" t="s">
        <v>32</v>
      </c>
      <c r="J127" s="228" t="s">
        <v>112</v>
      </c>
      <c r="K127" s="229">
        <v>5</v>
      </c>
      <c r="L127" s="228" t="s">
        <v>112</v>
      </c>
      <c r="M127" s="229">
        <v>5</v>
      </c>
      <c r="N127" s="228" t="s">
        <v>112</v>
      </c>
      <c r="O127" s="229">
        <v>5</v>
      </c>
      <c r="P127" s="228" t="s">
        <v>36</v>
      </c>
      <c r="Q127" s="229">
        <v>4</v>
      </c>
      <c r="R127" s="229" t="s">
        <v>112</v>
      </c>
      <c r="S127" s="229">
        <v>5</v>
      </c>
      <c r="T127" s="229" t="s">
        <v>112</v>
      </c>
      <c r="U127" s="229">
        <v>5</v>
      </c>
      <c r="V127" s="229" t="s">
        <v>35</v>
      </c>
      <c r="W127" s="229">
        <v>3</v>
      </c>
      <c r="X127" s="229" t="s">
        <v>35</v>
      </c>
      <c r="Y127" s="229">
        <v>3</v>
      </c>
      <c r="Z127" s="229" t="s">
        <v>36</v>
      </c>
      <c r="AA127" s="229">
        <v>4</v>
      </c>
      <c r="AB127" s="233" t="s">
        <v>1032</v>
      </c>
      <c r="AC127" s="72"/>
      <c r="AD127" s="72"/>
      <c r="AE127" s="72"/>
      <c r="AF127" s="72"/>
      <c r="AG127" s="72"/>
      <c r="AH127" s="72"/>
      <c r="AI127" s="73"/>
      <c r="AJ127" s="72"/>
      <c r="AK127" s="72"/>
      <c r="AL127" s="72"/>
      <c r="AM127" s="72"/>
      <c r="AN127" s="74"/>
      <c r="AO127" s="74"/>
      <c r="AP127" s="74"/>
      <c r="AQ127" s="74"/>
      <c r="AR127" s="74"/>
      <c r="AS127" s="74"/>
      <c r="AT127" s="74"/>
      <c r="AU127" s="74"/>
      <c r="AV127" s="74"/>
      <c r="AW127" s="74"/>
      <c r="AX127" s="74"/>
      <c r="AY127" s="74"/>
      <c r="AZ127" s="74"/>
      <c r="BA127" s="74"/>
      <c r="BB127" s="74"/>
      <c r="BC127" s="74"/>
      <c r="BD127" s="74"/>
      <c r="BE127" s="74"/>
      <c r="BF127" s="74"/>
      <c r="BG127" s="74"/>
    </row>
    <row r="128" spans="2:59">
      <c r="B128" s="83">
        <v>123</v>
      </c>
      <c r="C128" s="252"/>
      <c r="D128" s="228" t="s">
        <v>1033</v>
      </c>
      <c r="E128" s="228" t="s">
        <v>1034</v>
      </c>
      <c r="F128" s="228" t="s">
        <v>6</v>
      </c>
      <c r="G128" s="228" t="s">
        <v>18</v>
      </c>
      <c r="H128" s="228" t="s">
        <v>25</v>
      </c>
      <c r="I128" s="228" t="s">
        <v>30</v>
      </c>
      <c r="J128" s="228" t="s">
        <v>112</v>
      </c>
      <c r="K128" s="229">
        <v>5</v>
      </c>
      <c r="L128" s="228" t="s">
        <v>112</v>
      </c>
      <c r="M128" s="229">
        <v>5</v>
      </c>
      <c r="N128" s="228" t="s">
        <v>112</v>
      </c>
      <c r="O128" s="229">
        <v>5</v>
      </c>
      <c r="P128" s="228" t="s">
        <v>112</v>
      </c>
      <c r="Q128" s="229">
        <v>5</v>
      </c>
      <c r="R128" s="229" t="s">
        <v>112</v>
      </c>
      <c r="S128" s="229">
        <v>5</v>
      </c>
      <c r="T128" s="229" t="s">
        <v>112</v>
      </c>
      <c r="U128" s="229">
        <v>5</v>
      </c>
      <c r="V128" s="229" t="s">
        <v>112</v>
      </c>
      <c r="W128" s="229">
        <v>5</v>
      </c>
      <c r="X128" s="229" t="s">
        <v>112</v>
      </c>
      <c r="Y128" s="229">
        <v>5</v>
      </c>
      <c r="Z128" s="229" t="s">
        <v>112</v>
      </c>
      <c r="AA128" s="229">
        <v>5</v>
      </c>
      <c r="AB128" s="233" t="s">
        <v>1035</v>
      </c>
      <c r="AC128" s="72"/>
      <c r="AD128" s="72"/>
      <c r="AE128" s="72"/>
      <c r="AF128" s="72"/>
      <c r="AG128" s="72"/>
      <c r="AH128" s="72"/>
      <c r="AI128" s="73"/>
      <c r="AJ128" s="72"/>
      <c r="AK128" s="72"/>
      <c r="AL128" s="72"/>
      <c r="AM128" s="72"/>
      <c r="AN128" s="74"/>
      <c r="AO128" s="74"/>
      <c r="AP128" s="74"/>
      <c r="AQ128" s="74"/>
      <c r="AR128" s="74"/>
      <c r="AS128" s="74"/>
      <c r="AT128" s="74"/>
      <c r="AU128" s="74"/>
      <c r="AV128" s="74"/>
      <c r="AW128" s="74"/>
      <c r="AX128" s="74"/>
      <c r="AY128" s="74"/>
      <c r="AZ128" s="74"/>
      <c r="BA128" s="74"/>
      <c r="BB128" s="74"/>
      <c r="BC128" s="74"/>
      <c r="BD128" s="74"/>
      <c r="BE128" s="74"/>
      <c r="BF128" s="74"/>
      <c r="BG128" s="74"/>
    </row>
    <row r="129" spans="2:59">
      <c r="B129" s="83">
        <v>124</v>
      </c>
      <c r="C129" s="252"/>
      <c r="D129" s="228" t="s">
        <v>1036</v>
      </c>
      <c r="E129" s="228" t="s">
        <v>1037</v>
      </c>
      <c r="F129" s="228" t="s">
        <v>5</v>
      </c>
      <c r="G129" s="228" t="s">
        <v>19</v>
      </c>
      <c r="H129" s="228" t="s">
        <v>26</v>
      </c>
      <c r="I129" s="228" t="s">
        <v>32</v>
      </c>
      <c r="J129" s="228" t="s">
        <v>112</v>
      </c>
      <c r="K129" s="229">
        <v>5</v>
      </c>
      <c r="L129" s="228" t="s">
        <v>112</v>
      </c>
      <c r="M129" s="229">
        <v>5</v>
      </c>
      <c r="N129" s="228" t="s">
        <v>36</v>
      </c>
      <c r="O129" s="229">
        <v>4</v>
      </c>
      <c r="P129" s="228" t="s">
        <v>112</v>
      </c>
      <c r="Q129" s="229">
        <v>5</v>
      </c>
      <c r="R129" s="229" t="s">
        <v>112</v>
      </c>
      <c r="S129" s="229">
        <v>5</v>
      </c>
      <c r="T129" s="229" t="s">
        <v>112</v>
      </c>
      <c r="U129" s="229">
        <v>5</v>
      </c>
      <c r="V129" s="229" t="s">
        <v>36</v>
      </c>
      <c r="W129" s="229">
        <v>4</v>
      </c>
      <c r="X129" s="229" t="s">
        <v>112</v>
      </c>
      <c r="Y129" s="229">
        <v>5</v>
      </c>
      <c r="Z129" s="229" t="s">
        <v>112</v>
      </c>
      <c r="AA129" s="229">
        <v>5</v>
      </c>
      <c r="AB129" s="233" t="s">
        <v>1038</v>
      </c>
      <c r="AC129" s="72"/>
      <c r="AD129" s="72"/>
      <c r="AE129" s="72"/>
      <c r="AF129" s="72"/>
      <c r="AG129" s="72"/>
      <c r="AH129" s="72"/>
      <c r="AI129" s="73"/>
      <c r="AJ129" s="72"/>
      <c r="AK129" s="72"/>
      <c r="AL129" s="72"/>
      <c r="AM129" s="72"/>
      <c r="AN129" s="74"/>
      <c r="AO129" s="74"/>
      <c r="AP129" s="74"/>
      <c r="AQ129" s="74"/>
      <c r="AR129" s="74"/>
      <c r="AS129" s="74"/>
      <c r="AT129" s="74"/>
      <c r="AU129" s="74"/>
      <c r="AV129" s="74"/>
      <c r="AW129" s="74"/>
      <c r="AX129" s="74"/>
      <c r="AY129" s="74"/>
      <c r="AZ129" s="74"/>
      <c r="BA129" s="74"/>
      <c r="BB129" s="74"/>
      <c r="BC129" s="74"/>
      <c r="BD129" s="74"/>
      <c r="BE129" s="74"/>
      <c r="BF129" s="74"/>
      <c r="BG129" s="74"/>
    </row>
    <row r="130" spans="2:59">
      <c r="B130" s="83">
        <v>125</v>
      </c>
      <c r="C130" s="252" t="s">
        <v>1039</v>
      </c>
      <c r="D130" s="228" t="s">
        <v>1040</v>
      </c>
      <c r="E130" s="228" t="s">
        <v>1041</v>
      </c>
      <c r="F130" s="228" t="s">
        <v>6</v>
      </c>
      <c r="G130" s="228" t="s">
        <v>9</v>
      </c>
      <c r="H130" s="228" t="s">
        <v>25</v>
      </c>
      <c r="I130" s="228" t="s">
        <v>30</v>
      </c>
      <c r="J130" s="228" t="s">
        <v>112</v>
      </c>
      <c r="K130" s="229">
        <v>5</v>
      </c>
      <c r="L130" s="228" t="s">
        <v>112</v>
      </c>
      <c r="M130" s="229">
        <v>5</v>
      </c>
      <c r="N130" s="228" t="s">
        <v>112</v>
      </c>
      <c r="O130" s="229">
        <v>5</v>
      </c>
      <c r="P130" s="228" t="s">
        <v>112</v>
      </c>
      <c r="Q130" s="229">
        <v>5</v>
      </c>
      <c r="R130" s="229" t="s">
        <v>112</v>
      </c>
      <c r="S130" s="229">
        <v>5</v>
      </c>
      <c r="T130" s="229" t="s">
        <v>112</v>
      </c>
      <c r="U130" s="229">
        <v>5</v>
      </c>
      <c r="V130" s="229" t="s">
        <v>112</v>
      </c>
      <c r="W130" s="229">
        <v>5</v>
      </c>
      <c r="X130" s="229" t="s">
        <v>112</v>
      </c>
      <c r="Y130" s="229">
        <v>5</v>
      </c>
      <c r="Z130" s="229" t="s">
        <v>112</v>
      </c>
      <c r="AA130" s="229">
        <v>5</v>
      </c>
      <c r="AB130" s="233" t="s">
        <v>1042</v>
      </c>
      <c r="AC130" s="72"/>
      <c r="AD130" s="72"/>
      <c r="AE130" s="72"/>
      <c r="AF130" s="72"/>
      <c r="AG130" s="72"/>
      <c r="AH130" s="72"/>
      <c r="AI130" s="73"/>
      <c r="AJ130" s="72"/>
      <c r="AK130" s="72"/>
      <c r="AL130" s="72"/>
      <c r="AM130" s="72"/>
      <c r="AN130" s="74"/>
      <c r="AO130" s="74"/>
      <c r="AP130" s="74"/>
      <c r="AQ130" s="74"/>
      <c r="AR130" s="74"/>
      <c r="AS130" s="74"/>
      <c r="AT130" s="74"/>
      <c r="AU130" s="74"/>
      <c r="AV130" s="74"/>
      <c r="AW130" s="74"/>
      <c r="AX130" s="74"/>
      <c r="AY130" s="74"/>
      <c r="AZ130" s="74"/>
      <c r="BA130" s="74"/>
      <c r="BB130" s="74"/>
      <c r="BC130" s="74"/>
      <c r="BD130" s="74"/>
      <c r="BE130" s="74"/>
      <c r="BF130" s="74"/>
      <c r="BG130" s="74"/>
    </row>
    <row r="131" spans="2:59">
      <c r="B131" s="83">
        <v>126</v>
      </c>
      <c r="C131" s="252"/>
      <c r="D131" s="228" t="s">
        <v>1043</v>
      </c>
      <c r="E131" s="228" t="s">
        <v>1044</v>
      </c>
      <c r="F131" s="228" t="s">
        <v>6</v>
      </c>
      <c r="G131" s="228" t="s">
        <v>9</v>
      </c>
      <c r="H131" s="228" t="s">
        <v>26</v>
      </c>
      <c r="I131" s="228" t="s">
        <v>30</v>
      </c>
      <c r="J131" s="228" t="s">
        <v>112</v>
      </c>
      <c r="K131" s="229">
        <v>5</v>
      </c>
      <c r="L131" s="228" t="s">
        <v>112</v>
      </c>
      <c r="M131" s="229">
        <v>5</v>
      </c>
      <c r="N131" s="228" t="s">
        <v>112</v>
      </c>
      <c r="O131" s="229">
        <v>5</v>
      </c>
      <c r="P131" s="228" t="s">
        <v>112</v>
      </c>
      <c r="Q131" s="229">
        <v>5</v>
      </c>
      <c r="R131" s="229" t="s">
        <v>36</v>
      </c>
      <c r="S131" s="229">
        <v>4</v>
      </c>
      <c r="T131" s="229" t="s">
        <v>112</v>
      </c>
      <c r="U131" s="229">
        <v>5</v>
      </c>
      <c r="V131" s="229" t="s">
        <v>112</v>
      </c>
      <c r="W131" s="229">
        <v>5</v>
      </c>
      <c r="X131" s="229" t="s">
        <v>112</v>
      </c>
      <c r="Y131" s="229">
        <v>5</v>
      </c>
      <c r="Z131" s="229" t="s">
        <v>36</v>
      </c>
      <c r="AA131" s="229">
        <v>4</v>
      </c>
      <c r="AB131" s="233" t="s">
        <v>1045</v>
      </c>
      <c r="AC131" s="72"/>
      <c r="AD131" s="72"/>
      <c r="AE131" s="72"/>
      <c r="AF131" s="72"/>
      <c r="AG131" s="72"/>
      <c r="AH131" s="72"/>
      <c r="AI131" s="73"/>
      <c r="AJ131" s="72"/>
      <c r="AK131" s="72"/>
      <c r="AL131" s="72"/>
      <c r="AM131" s="72"/>
      <c r="AN131" s="74"/>
      <c r="AO131" s="74"/>
      <c r="AP131" s="74"/>
      <c r="AQ131" s="74"/>
      <c r="AR131" s="74"/>
      <c r="AS131" s="74"/>
      <c r="AT131" s="74"/>
      <c r="AU131" s="74"/>
      <c r="AV131" s="74"/>
      <c r="AW131" s="74"/>
      <c r="AX131" s="74"/>
      <c r="AY131" s="74"/>
      <c r="AZ131" s="74"/>
      <c r="BA131" s="74"/>
      <c r="BB131" s="74"/>
      <c r="BC131" s="74"/>
      <c r="BD131" s="74"/>
      <c r="BE131" s="74"/>
      <c r="BF131" s="74"/>
      <c r="BG131" s="74"/>
    </row>
    <row r="132" spans="2:59">
      <c r="B132" s="83">
        <v>127</v>
      </c>
      <c r="C132" s="252"/>
      <c r="D132" s="228" t="s">
        <v>1046</v>
      </c>
      <c r="E132" s="228" t="s">
        <v>1047</v>
      </c>
      <c r="F132" s="228" t="s">
        <v>6</v>
      </c>
      <c r="G132" s="228" t="s">
        <v>9</v>
      </c>
      <c r="H132" s="228" t="s">
        <v>26</v>
      </c>
      <c r="I132" s="228" t="s">
        <v>30</v>
      </c>
      <c r="J132" s="228" t="s">
        <v>112</v>
      </c>
      <c r="K132" s="229">
        <v>5</v>
      </c>
      <c r="L132" s="228" t="s">
        <v>112</v>
      </c>
      <c r="M132" s="229">
        <v>5</v>
      </c>
      <c r="N132" s="228" t="s">
        <v>112</v>
      </c>
      <c r="O132" s="229">
        <v>5</v>
      </c>
      <c r="P132" s="228" t="s">
        <v>36</v>
      </c>
      <c r="Q132" s="229">
        <v>4</v>
      </c>
      <c r="R132" s="229" t="s">
        <v>112</v>
      </c>
      <c r="S132" s="229">
        <v>5</v>
      </c>
      <c r="T132" s="229" t="s">
        <v>112</v>
      </c>
      <c r="U132" s="229">
        <v>5</v>
      </c>
      <c r="V132" s="229" t="s">
        <v>36</v>
      </c>
      <c r="W132" s="229">
        <v>4</v>
      </c>
      <c r="X132" s="229" t="s">
        <v>112</v>
      </c>
      <c r="Y132" s="229">
        <v>5</v>
      </c>
      <c r="Z132" s="229" t="s">
        <v>36</v>
      </c>
      <c r="AA132" s="229">
        <v>4</v>
      </c>
      <c r="AB132" s="233"/>
      <c r="AC132" s="72"/>
      <c r="AD132" s="72"/>
      <c r="AE132" s="72"/>
      <c r="AF132" s="72"/>
      <c r="AG132" s="72"/>
      <c r="AH132" s="72"/>
      <c r="AI132" s="73"/>
      <c r="AJ132" s="72"/>
      <c r="AK132" s="72"/>
      <c r="AL132" s="72"/>
      <c r="AM132" s="72"/>
      <c r="AN132" s="74"/>
      <c r="AO132" s="74"/>
      <c r="AP132" s="74"/>
      <c r="AQ132" s="74"/>
      <c r="AR132" s="74"/>
      <c r="AS132" s="74"/>
      <c r="AT132" s="74"/>
      <c r="AU132" s="74"/>
      <c r="AV132" s="74"/>
      <c r="AW132" s="74"/>
      <c r="AX132" s="74"/>
      <c r="AY132" s="74"/>
      <c r="AZ132" s="74"/>
      <c r="BA132" s="74"/>
      <c r="BB132" s="74"/>
      <c r="BC132" s="74"/>
      <c r="BD132" s="74"/>
      <c r="BE132" s="74"/>
      <c r="BF132" s="74"/>
      <c r="BG132" s="74"/>
    </row>
    <row r="133" spans="2:59">
      <c r="B133" s="83">
        <v>128</v>
      </c>
      <c r="C133" s="252"/>
      <c r="D133" s="228" t="s">
        <v>1048</v>
      </c>
      <c r="E133" s="228" t="s">
        <v>1049</v>
      </c>
      <c r="F133" s="228" t="s">
        <v>6</v>
      </c>
      <c r="G133" s="228" t="s">
        <v>9</v>
      </c>
      <c r="H133" s="228" t="s">
        <v>113</v>
      </c>
      <c r="I133" s="228" t="s">
        <v>30</v>
      </c>
      <c r="J133" s="228" t="s">
        <v>112</v>
      </c>
      <c r="K133" s="229">
        <v>5</v>
      </c>
      <c r="L133" s="228" t="s">
        <v>112</v>
      </c>
      <c r="M133" s="229">
        <v>5</v>
      </c>
      <c r="N133" s="228" t="s">
        <v>112</v>
      </c>
      <c r="O133" s="229">
        <v>5</v>
      </c>
      <c r="P133" s="228" t="s">
        <v>112</v>
      </c>
      <c r="Q133" s="229">
        <v>5</v>
      </c>
      <c r="R133" s="229" t="s">
        <v>112</v>
      </c>
      <c r="S133" s="229">
        <v>5</v>
      </c>
      <c r="T133" s="229" t="s">
        <v>112</v>
      </c>
      <c r="U133" s="229">
        <v>5</v>
      </c>
      <c r="V133" s="229" t="s">
        <v>112</v>
      </c>
      <c r="W133" s="229">
        <v>5</v>
      </c>
      <c r="X133" s="229" t="s">
        <v>112</v>
      </c>
      <c r="Y133" s="229">
        <v>5</v>
      </c>
      <c r="Z133" s="229" t="s">
        <v>112</v>
      </c>
      <c r="AA133" s="229">
        <v>5</v>
      </c>
      <c r="AB133" s="233"/>
      <c r="AC133" s="72"/>
      <c r="AD133" s="72"/>
      <c r="AE133" s="72"/>
      <c r="AF133" s="72"/>
      <c r="AG133" s="72"/>
      <c r="AH133" s="72"/>
      <c r="AI133" s="73"/>
      <c r="AJ133" s="72"/>
      <c r="AK133" s="72"/>
      <c r="AL133" s="72"/>
      <c r="AM133" s="72"/>
      <c r="AN133" s="74"/>
      <c r="AO133" s="74"/>
      <c r="AP133" s="74"/>
      <c r="AQ133" s="74"/>
      <c r="AR133" s="74"/>
      <c r="AS133" s="74"/>
      <c r="AT133" s="74"/>
      <c r="AU133" s="74"/>
      <c r="AV133" s="74"/>
      <c r="AW133" s="74"/>
      <c r="AX133" s="74"/>
      <c r="AY133" s="74"/>
      <c r="AZ133" s="74"/>
      <c r="BA133" s="74"/>
      <c r="BB133" s="74"/>
      <c r="BC133" s="74"/>
      <c r="BD133" s="74"/>
      <c r="BE133" s="74"/>
      <c r="BF133" s="74"/>
      <c r="BG133" s="74"/>
    </row>
    <row r="134" spans="2:59">
      <c r="B134" s="83">
        <v>129</v>
      </c>
      <c r="C134" s="252"/>
      <c r="D134" s="228" t="s">
        <v>1050</v>
      </c>
      <c r="E134" s="228" t="s">
        <v>1051</v>
      </c>
      <c r="F134" s="228" t="s">
        <v>6</v>
      </c>
      <c r="G134" s="228" t="s">
        <v>9</v>
      </c>
      <c r="H134" s="228" t="s">
        <v>26</v>
      </c>
      <c r="I134" s="228" t="s">
        <v>28</v>
      </c>
      <c r="J134" s="228" t="s">
        <v>112</v>
      </c>
      <c r="K134" s="229">
        <v>5</v>
      </c>
      <c r="L134" s="228" t="s">
        <v>112</v>
      </c>
      <c r="M134" s="229">
        <v>5</v>
      </c>
      <c r="N134" s="228" t="s">
        <v>112</v>
      </c>
      <c r="O134" s="229">
        <v>5</v>
      </c>
      <c r="P134" s="228" t="s">
        <v>112</v>
      </c>
      <c r="Q134" s="229">
        <v>5</v>
      </c>
      <c r="R134" s="229" t="s">
        <v>112</v>
      </c>
      <c r="S134" s="229">
        <v>5</v>
      </c>
      <c r="T134" s="229" t="s">
        <v>112</v>
      </c>
      <c r="U134" s="229">
        <v>5</v>
      </c>
      <c r="V134" s="229" t="s">
        <v>112</v>
      </c>
      <c r="W134" s="229">
        <v>5</v>
      </c>
      <c r="X134" s="229" t="s">
        <v>112</v>
      </c>
      <c r="Y134" s="229">
        <v>5</v>
      </c>
      <c r="Z134" s="229" t="s">
        <v>112</v>
      </c>
      <c r="AA134" s="229">
        <v>5</v>
      </c>
      <c r="AB134" s="233" t="s">
        <v>1052</v>
      </c>
      <c r="AC134" s="72"/>
      <c r="AD134" s="72"/>
      <c r="AE134" s="72"/>
      <c r="AF134" s="72"/>
      <c r="AG134" s="72"/>
      <c r="AH134" s="72"/>
      <c r="AI134" s="73"/>
      <c r="AJ134" s="72"/>
      <c r="AK134" s="72"/>
      <c r="AL134" s="72"/>
      <c r="AM134" s="72"/>
      <c r="AN134" s="74"/>
      <c r="AO134" s="74"/>
      <c r="AP134" s="74"/>
      <c r="AQ134" s="74"/>
      <c r="AR134" s="74"/>
      <c r="AS134" s="74"/>
      <c r="AT134" s="74"/>
      <c r="AU134" s="74"/>
      <c r="AV134" s="74"/>
      <c r="AW134" s="74"/>
      <c r="AX134" s="74"/>
      <c r="AY134" s="74"/>
      <c r="AZ134" s="74"/>
      <c r="BA134" s="74"/>
      <c r="BB134" s="74"/>
      <c r="BC134" s="74"/>
      <c r="BD134" s="74"/>
      <c r="BE134" s="74"/>
      <c r="BF134" s="74"/>
      <c r="BG134" s="74"/>
    </row>
    <row r="135" spans="2:59">
      <c r="B135" s="83">
        <v>130</v>
      </c>
      <c r="C135" s="252"/>
      <c r="D135" s="228" t="s">
        <v>1053</v>
      </c>
      <c r="E135" s="228" t="s">
        <v>1054</v>
      </c>
      <c r="F135" s="228" t="s">
        <v>6</v>
      </c>
      <c r="G135" s="228" t="s">
        <v>9</v>
      </c>
      <c r="H135" s="228" t="s">
        <v>24</v>
      </c>
      <c r="I135" s="228" t="s">
        <v>30</v>
      </c>
      <c r="J135" s="228" t="s">
        <v>112</v>
      </c>
      <c r="K135" s="229">
        <v>5</v>
      </c>
      <c r="L135" s="228" t="s">
        <v>112</v>
      </c>
      <c r="M135" s="229">
        <v>5</v>
      </c>
      <c r="N135" s="228" t="s">
        <v>112</v>
      </c>
      <c r="O135" s="229">
        <v>5</v>
      </c>
      <c r="P135" s="228" t="s">
        <v>112</v>
      </c>
      <c r="Q135" s="229">
        <v>5</v>
      </c>
      <c r="R135" s="229" t="s">
        <v>112</v>
      </c>
      <c r="S135" s="229">
        <v>5</v>
      </c>
      <c r="T135" s="229" t="s">
        <v>112</v>
      </c>
      <c r="U135" s="229">
        <v>5</v>
      </c>
      <c r="V135" s="229" t="s">
        <v>112</v>
      </c>
      <c r="W135" s="229">
        <v>5</v>
      </c>
      <c r="X135" s="229" t="s">
        <v>112</v>
      </c>
      <c r="Y135" s="229">
        <v>5</v>
      </c>
      <c r="Z135" s="229" t="s">
        <v>112</v>
      </c>
      <c r="AA135" s="229">
        <v>5</v>
      </c>
      <c r="AB135" s="233" t="s">
        <v>1055</v>
      </c>
      <c r="AC135" s="72"/>
      <c r="AD135" s="72"/>
      <c r="AE135" s="72"/>
      <c r="AF135" s="72"/>
      <c r="AG135" s="72"/>
      <c r="AH135" s="72"/>
      <c r="AI135" s="73"/>
      <c r="AJ135" s="72"/>
      <c r="AK135" s="72"/>
      <c r="AL135" s="72"/>
      <c r="AM135" s="72"/>
      <c r="AN135" s="74"/>
      <c r="AO135" s="74"/>
      <c r="AP135" s="74"/>
      <c r="AQ135" s="74"/>
      <c r="AR135" s="74"/>
      <c r="AS135" s="74"/>
      <c r="AT135" s="74"/>
      <c r="AU135" s="74"/>
      <c r="AV135" s="74"/>
      <c r="AW135" s="74"/>
      <c r="AX135" s="74"/>
      <c r="AY135" s="74"/>
      <c r="AZ135" s="74"/>
      <c r="BA135" s="74"/>
      <c r="BB135" s="74"/>
      <c r="BC135" s="74"/>
      <c r="BD135" s="74"/>
      <c r="BE135" s="74"/>
      <c r="BF135" s="74"/>
      <c r="BG135" s="74"/>
    </row>
    <row r="136" spans="2:59">
      <c r="B136" s="83">
        <v>131</v>
      </c>
      <c r="C136" s="252"/>
      <c r="D136" s="228" t="s">
        <v>1056</v>
      </c>
      <c r="E136" s="228" t="s">
        <v>1057</v>
      </c>
      <c r="F136" s="228" t="s">
        <v>6</v>
      </c>
      <c r="G136" s="228" t="s">
        <v>17</v>
      </c>
      <c r="H136" s="228" t="s">
        <v>113</v>
      </c>
      <c r="I136" s="228" t="s">
        <v>32</v>
      </c>
      <c r="J136" s="228" t="s">
        <v>112</v>
      </c>
      <c r="K136" s="229">
        <v>5</v>
      </c>
      <c r="L136" s="228" t="s">
        <v>112</v>
      </c>
      <c r="M136" s="229">
        <v>5</v>
      </c>
      <c r="N136" s="228" t="s">
        <v>112</v>
      </c>
      <c r="O136" s="229">
        <v>5</v>
      </c>
      <c r="P136" s="228" t="s">
        <v>112</v>
      </c>
      <c r="Q136" s="229">
        <v>5</v>
      </c>
      <c r="R136" s="229" t="s">
        <v>112</v>
      </c>
      <c r="S136" s="229">
        <v>5</v>
      </c>
      <c r="T136" s="229" t="s">
        <v>112</v>
      </c>
      <c r="U136" s="229">
        <v>5</v>
      </c>
      <c r="V136" s="229" t="s">
        <v>36</v>
      </c>
      <c r="W136" s="229">
        <v>4</v>
      </c>
      <c r="X136" s="229" t="s">
        <v>36</v>
      </c>
      <c r="Y136" s="229">
        <v>4</v>
      </c>
      <c r="Z136" s="229" t="s">
        <v>36</v>
      </c>
      <c r="AA136" s="229">
        <v>4</v>
      </c>
      <c r="AB136" s="233"/>
      <c r="AC136" s="72"/>
      <c r="AD136" s="72"/>
      <c r="AE136" s="72"/>
      <c r="AF136" s="72"/>
      <c r="AG136" s="72"/>
      <c r="AH136" s="72"/>
      <c r="AI136" s="73"/>
      <c r="AJ136" s="72"/>
      <c r="AK136" s="72"/>
      <c r="AL136" s="72"/>
      <c r="AM136" s="72"/>
      <c r="AN136" s="74"/>
      <c r="AO136" s="74"/>
      <c r="AP136" s="74"/>
      <c r="AQ136" s="74"/>
      <c r="AR136" s="74"/>
      <c r="AS136" s="74"/>
      <c r="AT136" s="74"/>
      <c r="AU136" s="74"/>
      <c r="AV136" s="74"/>
      <c r="AW136" s="74"/>
      <c r="AX136" s="74"/>
      <c r="AY136" s="74"/>
      <c r="AZ136" s="74"/>
      <c r="BA136" s="74"/>
      <c r="BB136" s="74"/>
      <c r="BC136" s="74"/>
      <c r="BD136" s="74"/>
      <c r="BE136" s="74"/>
      <c r="BF136" s="74"/>
      <c r="BG136" s="74"/>
    </row>
    <row r="137" spans="2:59">
      <c r="B137" s="83">
        <v>132</v>
      </c>
      <c r="C137" s="252"/>
      <c r="D137" s="228" t="s">
        <v>1058</v>
      </c>
      <c r="E137" s="228" t="s">
        <v>1059</v>
      </c>
      <c r="F137" s="228" t="s">
        <v>6</v>
      </c>
      <c r="G137" s="228" t="s">
        <v>9</v>
      </c>
      <c r="H137" s="228" t="s">
        <v>113</v>
      </c>
      <c r="I137" s="228" t="s">
        <v>30</v>
      </c>
      <c r="J137" s="228" t="s">
        <v>112</v>
      </c>
      <c r="K137" s="229">
        <v>5</v>
      </c>
      <c r="L137" s="228" t="s">
        <v>112</v>
      </c>
      <c r="M137" s="229">
        <v>5</v>
      </c>
      <c r="N137" s="228" t="s">
        <v>112</v>
      </c>
      <c r="O137" s="229">
        <v>5</v>
      </c>
      <c r="P137" s="228" t="s">
        <v>35</v>
      </c>
      <c r="Q137" s="229">
        <v>3</v>
      </c>
      <c r="R137" s="229" t="s">
        <v>112</v>
      </c>
      <c r="S137" s="229">
        <v>5</v>
      </c>
      <c r="T137" s="229" t="s">
        <v>112</v>
      </c>
      <c r="U137" s="229">
        <v>5</v>
      </c>
      <c r="V137" s="229" t="s">
        <v>112</v>
      </c>
      <c r="W137" s="229">
        <v>5</v>
      </c>
      <c r="X137" s="229" t="s">
        <v>112</v>
      </c>
      <c r="Y137" s="229">
        <v>5</v>
      </c>
      <c r="Z137" s="229" t="s">
        <v>112</v>
      </c>
      <c r="AA137" s="229">
        <v>5</v>
      </c>
      <c r="AB137" s="233" t="s">
        <v>1060</v>
      </c>
      <c r="AC137" s="72"/>
      <c r="AD137" s="72"/>
      <c r="AE137" s="72"/>
      <c r="AF137" s="72"/>
      <c r="AG137" s="72"/>
      <c r="AH137" s="72"/>
      <c r="AI137" s="73"/>
      <c r="AJ137" s="72"/>
      <c r="AK137" s="72"/>
      <c r="AL137" s="72"/>
      <c r="AM137" s="72"/>
      <c r="AN137" s="74"/>
      <c r="AO137" s="74"/>
      <c r="AP137" s="74"/>
      <c r="AQ137" s="74"/>
      <c r="AR137" s="74"/>
      <c r="AS137" s="74"/>
      <c r="AT137" s="74"/>
      <c r="AU137" s="74"/>
      <c r="AV137" s="74"/>
      <c r="AW137" s="74"/>
      <c r="AX137" s="74"/>
      <c r="AY137" s="74"/>
      <c r="AZ137" s="74"/>
      <c r="BA137" s="74"/>
      <c r="BB137" s="74"/>
      <c r="BC137" s="74"/>
      <c r="BD137" s="74"/>
      <c r="BE137" s="74"/>
      <c r="BF137" s="74"/>
      <c r="BG137" s="74"/>
    </row>
    <row r="138" spans="2:59">
      <c r="B138" s="83">
        <v>133</v>
      </c>
      <c r="C138" s="252"/>
      <c r="D138" s="228" t="s">
        <v>1061</v>
      </c>
      <c r="E138" s="228" t="s">
        <v>1062</v>
      </c>
      <c r="F138" s="228" t="s">
        <v>6</v>
      </c>
      <c r="G138" s="228" t="s">
        <v>9</v>
      </c>
      <c r="H138" s="228" t="s">
        <v>26</v>
      </c>
      <c r="I138" s="228" t="s">
        <v>30</v>
      </c>
      <c r="J138" s="228" t="s">
        <v>112</v>
      </c>
      <c r="K138" s="229">
        <v>5</v>
      </c>
      <c r="L138" s="228" t="s">
        <v>112</v>
      </c>
      <c r="M138" s="229">
        <v>5</v>
      </c>
      <c r="N138" s="228" t="s">
        <v>112</v>
      </c>
      <c r="O138" s="229">
        <v>5</v>
      </c>
      <c r="P138" s="228" t="s">
        <v>35</v>
      </c>
      <c r="Q138" s="229">
        <v>3</v>
      </c>
      <c r="R138" s="229" t="s">
        <v>112</v>
      </c>
      <c r="S138" s="229">
        <v>5</v>
      </c>
      <c r="T138" s="229" t="s">
        <v>112</v>
      </c>
      <c r="U138" s="229">
        <v>5</v>
      </c>
      <c r="V138" s="229" t="s">
        <v>112</v>
      </c>
      <c r="W138" s="229">
        <v>5</v>
      </c>
      <c r="X138" s="229" t="s">
        <v>112</v>
      </c>
      <c r="Y138" s="229">
        <v>5</v>
      </c>
      <c r="Z138" s="229" t="s">
        <v>112</v>
      </c>
      <c r="AA138" s="229">
        <v>5</v>
      </c>
      <c r="AB138" s="233"/>
      <c r="AC138" s="72"/>
      <c r="AD138" s="72"/>
      <c r="AE138" s="72"/>
      <c r="AF138" s="72"/>
      <c r="AG138" s="72"/>
      <c r="AH138" s="72"/>
      <c r="AI138" s="73"/>
      <c r="AJ138" s="72"/>
      <c r="AK138" s="72"/>
      <c r="AL138" s="72"/>
      <c r="AM138" s="72"/>
      <c r="AN138" s="74"/>
      <c r="AO138" s="74"/>
      <c r="AP138" s="74"/>
      <c r="AQ138" s="74"/>
      <c r="AR138" s="74"/>
      <c r="AS138" s="74"/>
      <c r="AT138" s="74"/>
      <c r="AU138" s="74"/>
      <c r="AV138" s="74"/>
      <c r="AW138" s="74"/>
      <c r="AX138" s="74"/>
      <c r="AY138" s="74"/>
      <c r="AZ138" s="74"/>
      <c r="BA138" s="74"/>
      <c r="BB138" s="74"/>
      <c r="BC138" s="74"/>
      <c r="BD138" s="74"/>
      <c r="BE138" s="74"/>
      <c r="BF138" s="74"/>
      <c r="BG138" s="74"/>
    </row>
    <row r="139" spans="2:59">
      <c r="B139" s="83">
        <v>134</v>
      </c>
      <c r="C139" s="252"/>
      <c r="D139" s="228" t="s">
        <v>1063</v>
      </c>
      <c r="E139" s="228" t="s">
        <v>1064</v>
      </c>
      <c r="F139" s="228" t="s">
        <v>6</v>
      </c>
      <c r="G139" s="228" t="s">
        <v>9</v>
      </c>
      <c r="H139" s="228" t="s">
        <v>113</v>
      </c>
      <c r="I139" s="228" t="s">
        <v>30</v>
      </c>
      <c r="J139" s="228" t="s">
        <v>112</v>
      </c>
      <c r="K139" s="229">
        <v>5</v>
      </c>
      <c r="L139" s="228" t="s">
        <v>112</v>
      </c>
      <c r="M139" s="229">
        <v>5</v>
      </c>
      <c r="N139" s="228" t="s">
        <v>112</v>
      </c>
      <c r="O139" s="229">
        <v>5</v>
      </c>
      <c r="P139" s="228" t="s">
        <v>36</v>
      </c>
      <c r="Q139" s="229">
        <v>4</v>
      </c>
      <c r="R139" s="229" t="s">
        <v>112</v>
      </c>
      <c r="S139" s="229">
        <v>5</v>
      </c>
      <c r="T139" s="229" t="s">
        <v>112</v>
      </c>
      <c r="U139" s="229">
        <v>5</v>
      </c>
      <c r="V139" s="229" t="s">
        <v>112</v>
      </c>
      <c r="W139" s="229">
        <v>5</v>
      </c>
      <c r="X139" s="229" t="s">
        <v>112</v>
      </c>
      <c r="Y139" s="229">
        <v>5</v>
      </c>
      <c r="Z139" s="229" t="s">
        <v>112</v>
      </c>
      <c r="AA139" s="229">
        <v>5</v>
      </c>
      <c r="AB139" s="233" t="s">
        <v>1065</v>
      </c>
      <c r="AC139" s="72"/>
      <c r="AD139" s="72"/>
      <c r="AE139" s="72"/>
      <c r="AF139" s="72"/>
      <c r="AG139" s="72"/>
      <c r="AH139" s="72"/>
      <c r="AI139" s="73"/>
      <c r="AJ139" s="72"/>
      <c r="AK139" s="72"/>
      <c r="AL139" s="72"/>
      <c r="AM139" s="72"/>
      <c r="AN139" s="74"/>
      <c r="AO139" s="74"/>
      <c r="AP139" s="74"/>
      <c r="AQ139" s="74"/>
      <c r="AR139" s="74"/>
      <c r="AS139" s="74"/>
      <c r="AT139" s="74"/>
      <c r="AU139" s="74"/>
      <c r="AV139" s="74"/>
      <c r="AW139" s="74"/>
      <c r="AX139" s="74"/>
      <c r="AY139" s="74"/>
      <c r="AZ139" s="74"/>
      <c r="BA139" s="74"/>
      <c r="BB139" s="74"/>
      <c r="BC139" s="74"/>
      <c r="BD139" s="74"/>
      <c r="BE139" s="74"/>
      <c r="BF139" s="74"/>
      <c r="BG139" s="74"/>
    </row>
    <row r="140" spans="2:59">
      <c r="B140" s="83">
        <v>135</v>
      </c>
      <c r="C140" s="252"/>
      <c r="D140" s="228" t="s">
        <v>1066</v>
      </c>
      <c r="E140" s="228" t="s">
        <v>1067</v>
      </c>
      <c r="F140" s="228" t="s">
        <v>6</v>
      </c>
      <c r="G140" s="228" t="s">
        <v>9</v>
      </c>
      <c r="H140" s="228" t="s">
        <v>26</v>
      </c>
      <c r="I140" s="228" t="s">
        <v>30</v>
      </c>
      <c r="J140" s="228" t="s">
        <v>112</v>
      </c>
      <c r="K140" s="229">
        <v>5</v>
      </c>
      <c r="L140" s="228" t="s">
        <v>112</v>
      </c>
      <c r="M140" s="229">
        <v>5</v>
      </c>
      <c r="N140" s="228" t="s">
        <v>112</v>
      </c>
      <c r="O140" s="229">
        <v>5</v>
      </c>
      <c r="P140" s="228" t="s">
        <v>112</v>
      </c>
      <c r="Q140" s="229">
        <v>5</v>
      </c>
      <c r="R140" s="229" t="s">
        <v>112</v>
      </c>
      <c r="S140" s="229">
        <v>5</v>
      </c>
      <c r="T140" s="229" t="s">
        <v>112</v>
      </c>
      <c r="U140" s="229">
        <v>5</v>
      </c>
      <c r="V140" s="229" t="s">
        <v>112</v>
      </c>
      <c r="W140" s="229">
        <v>5</v>
      </c>
      <c r="X140" s="229" t="s">
        <v>112</v>
      </c>
      <c r="Y140" s="229">
        <v>5</v>
      </c>
      <c r="Z140" s="229" t="s">
        <v>112</v>
      </c>
      <c r="AA140" s="229">
        <v>5</v>
      </c>
      <c r="AB140" s="233"/>
      <c r="AC140" s="72"/>
      <c r="AD140" s="72"/>
      <c r="AE140" s="72"/>
      <c r="AF140" s="72"/>
      <c r="AG140" s="72"/>
      <c r="AH140" s="72"/>
      <c r="AI140" s="73"/>
      <c r="AJ140" s="72"/>
      <c r="AK140" s="72"/>
      <c r="AL140" s="72"/>
      <c r="AM140" s="72"/>
      <c r="AN140" s="74"/>
      <c r="AO140" s="74"/>
      <c r="AP140" s="74"/>
      <c r="AQ140" s="74"/>
      <c r="AR140" s="74"/>
      <c r="AS140" s="74"/>
      <c r="AT140" s="74"/>
      <c r="AU140" s="74"/>
      <c r="AV140" s="74"/>
      <c r="AW140" s="74"/>
      <c r="AX140" s="74"/>
      <c r="AY140" s="74"/>
      <c r="AZ140" s="74"/>
      <c r="BA140" s="74"/>
      <c r="BB140" s="74"/>
      <c r="BC140" s="74"/>
      <c r="BD140" s="74"/>
      <c r="BE140" s="74"/>
      <c r="BF140" s="74"/>
      <c r="BG140" s="74"/>
    </row>
    <row r="141" spans="2:59">
      <c r="B141" s="83">
        <v>136</v>
      </c>
      <c r="C141" s="252"/>
      <c r="D141" s="228" t="s">
        <v>1068</v>
      </c>
      <c r="E141" s="228" t="s">
        <v>1069</v>
      </c>
      <c r="F141" s="228" t="s">
        <v>6</v>
      </c>
      <c r="G141" s="228" t="s">
        <v>9</v>
      </c>
      <c r="H141" s="228" t="s">
        <v>22</v>
      </c>
      <c r="I141" s="228" t="s">
        <v>32</v>
      </c>
      <c r="J141" s="228" t="s">
        <v>112</v>
      </c>
      <c r="K141" s="229">
        <v>5</v>
      </c>
      <c r="L141" s="228" t="s">
        <v>112</v>
      </c>
      <c r="M141" s="229">
        <v>5</v>
      </c>
      <c r="N141" s="228" t="s">
        <v>112</v>
      </c>
      <c r="O141" s="229">
        <v>5</v>
      </c>
      <c r="P141" s="228" t="s">
        <v>112</v>
      </c>
      <c r="Q141" s="229">
        <v>5</v>
      </c>
      <c r="R141" s="229" t="s">
        <v>112</v>
      </c>
      <c r="S141" s="229">
        <v>5</v>
      </c>
      <c r="T141" s="229" t="s">
        <v>112</v>
      </c>
      <c r="U141" s="229">
        <v>5</v>
      </c>
      <c r="V141" s="229" t="s">
        <v>112</v>
      </c>
      <c r="W141" s="229">
        <v>5</v>
      </c>
      <c r="X141" s="229" t="s">
        <v>112</v>
      </c>
      <c r="Y141" s="229">
        <v>5</v>
      </c>
      <c r="Z141" s="229" t="s">
        <v>112</v>
      </c>
      <c r="AA141" s="229">
        <v>5</v>
      </c>
      <c r="AB141" s="233"/>
      <c r="AC141" s="72"/>
      <c r="AD141" s="72"/>
      <c r="AE141" s="72"/>
      <c r="AF141" s="72"/>
      <c r="AG141" s="72"/>
      <c r="AH141" s="72"/>
      <c r="AI141" s="73"/>
      <c r="AJ141" s="72"/>
      <c r="AK141" s="72"/>
      <c r="AL141" s="72"/>
      <c r="AM141" s="72"/>
      <c r="AN141" s="74"/>
      <c r="AO141" s="74"/>
      <c r="AP141" s="74"/>
      <c r="AQ141" s="74"/>
      <c r="AR141" s="74"/>
      <c r="AS141" s="74"/>
      <c r="AT141" s="74"/>
      <c r="AU141" s="74"/>
      <c r="AV141" s="74"/>
      <c r="AW141" s="74"/>
      <c r="AX141" s="74"/>
      <c r="AY141" s="74"/>
      <c r="AZ141" s="74"/>
      <c r="BA141" s="74"/>
      <c r="BB141" s="74"/>
      <c r="BC141" s="74"/>
      <c r="BD141" s="74"/>
      <c r="BE141" s="74"/>
      <c r="BF141" s="74"/>
      <c r="BG141" s="74"/>
    </row>
    <row r="142" spans="2:59">
      <c r="B142" s="83">
        <v>137</v>
      </c>
      <c r="C142" s="252" t="s">
        <v>1070</v>
      </c>
      <c r="D142" s="228" t="s">
        <v>1071</v>
      </c>
      <c r="E142" s="228" t="s">
        <v>1072</v>
      </c>
      <c r="F142" s="228" t="s">
        <v>6</v>
      </c>
      <c r="G142" s="228" t="s">
        <v>19</v>
      </c>
      <c r="H142" s="228" t="s">
        <v>113</v>
      </c>
      <c r="I142" s="228" t="s">
        <v>30</v>
      </c>
      <c r="J142" s="228" t="s">
        <v>112</v>
      </c>
      <c r="K142" s="229">
        <v>5</v>
      </c>
      <c r="L142" s="228" t="s">
        <v>112</v>
      </c>
      <c r="M142" s="229">
        <v>5</v>
      </c>
      <c r="N142" s="228" t="s">
        <v>112</v>
      </c>
      <c r="O142" s="229">
        <v>5</v>
      </c>
      <c r="P142" s="228" t="s">
        <v>112</v>
      </c>
      <c r="Q142" s="229">
        <v>5</v>
      </c>
      <c r="R142" s="229" t="s">
        <v>112</v>
      </c>
      <c r="S142" s="229">
        <v>5</v>
      </c>
      <c r="T142" s="229" t="s">
        <v>112</v>
      </c>
      <c r="U142" s="229">
        <v>5</v>
      </c>
      <c r="V142" s="229" t="s">
        <v>112</v>
      </c>
      <c r="W142" s="229">
        <v>5</v>
      </c>
      <c r="X142" s="229" t="s">
        <v>112</v>
      </c>
      <c r="Y142" s="229">
        <v>5</v>
      </c>
      <c r="Z142" s="229" t="s">
        <v>112</v>
      </c>
      <c r="AA142" s="229">
        <v>5</v>
      </c>
      <c r="AB142" s="233"/>
      <c r="AC142" s="72"/>
      <c r="AD142" s="72"/>
      <c r="AE142" s="72"/>
      <c r="AF142" s="72"/>
      <c r="AG142" s="72"/>
      <c r="AH142" s="72"/>
      <c r="AI142" s="73"/>
      <c r="AJ142" s="72"/>
      <c r="AK142" s="72"/>
      <c r="AL142" s="72"/>
      <c r="AM142" s="72"/>
      <c r="AN142" s="74"/>
      <c r="AO142" s="74"/>
      <c r="AP142" s="74"/>
      <c r="AQ142" s="74"/>
      <c r="AR142" s="74"/>
      <c r="AS142" s="74"/>
      <c r="AT142" s="74"/>
      <c r="AU142" s="74"/>
      <c r="AV142" s="74"/>
      <c r="AW142" s="74"/>
      <c r="AX142" s="74"/>
      <c r="AY142" s="74"/>
      <c r="AZ142" s="74"/>
      <c r="BA142" s="74"/>
      <c r="BB142" s="74"/>
      <c r="BC142" s="74"/>
      <c r="BD142" s="74"/>
      <c r="BE142" s="74"/>
      <c r="BF142" s="74"/>
      <c r="BG142" s="74"/>
    </row>
    <row r="143" spans="2:59">
      <c r="B143" s="83">
        <v>138</v>
      </c>
      <c r="C143" s="252"/>
      <c r="D143" s="228" t="s">
        <v>1073</v>
      </c>
      <c r="E143" s="228" t="s">
        <v>1074</v>
      </c>
      <c r="F143" s="228" t="s">
        <v>6</v>
      </c>
      <c r="G143" s="228" t="s">
        <v>18</v>
      </c>
      <c r="H143" s="228" t="s">
        <v>26</v>
      </c>
      <c r="I143" s="228" t="s">
        <v>30</v>
      </c>
      <c r="J143" s="228" t="s">
        <v>112</v>
      </c>
      <c r="K143" s="229">
        <v>5</v>
      </c>
      <c r="L143" s="228" t="s">
        <v>112</v>
      </c>
      <c r="M143" s="229">
        <v>5</v>
      </c>
      <c r="N143" s="228" t="s">
        <v>112</v>
      </c>
      <c r="O143" s="229">
        <v>5</v>
      </c>
      <c r="P143" s="228" t="s">
        <v>112</v>
      </c>
      <c r="Q143" s="229">
        <v>5</v>
      </c>
      <c r="R143" s="229" t="s">
        <v>36</v>
      </c>
      <c r="S143" s="229">
        <v>4</v>
      </c>
      <c r="T143" s="229" t="s">
        <v>36</v>
      </c>
      <c r="U143" s="229">
        <v>4</v>
      </c>
      <c r="V143" s="229" t="s">
        <v>36</v>
      </c>
      <c r="W143" s="229">
        <v>4</v>
      </c>
      <c r="X143" s="229" t="s">
        <v>36</v>
      </c>
      <c r="Y143" s="229">
        <v>4</v>
      </c>
      <c r="Z143" s="229" t="s">
        <v>36</v>
      </c>
      <c r="AA143" s="229">
        <v>4</v>
      </c>
      <c r="AB143" s="233" t="s">
        <v>1075</v>
      </c>
      <c r="AC143" s="72"/>
      <c r="AD143" s="72"/>
      <c r="AE143" s="72"/>
      <c r="AF143" s="72"/>
      <c r="AG143" s="72"/>
      <c r="AH143" s="72"/>
      <c r="AI143" s="73"/>
      <c r="AJ143" s="72"/>
      <c r="AK143" s="72"/>
      <c r="AL143" s="72"/>
      <c r="AM143" s="72"/>
      <c r="AN143" s="74"/>
      <c r="AO143" s="74"/>
      <c r="AP143" s="74"/>
      <c r="AQ143" s="74"/>
      <c r="AR143" s="74"/>
      <c r="AS143" s="74"/>
      <c r="AT143" s="74"/>
      <c r="AU143" s="74"/>
      <c r="AV143" s="74"/>
      <c r="AW143" s="74"/>
      <c r="AX143" s="74"/>
      <c r="AY143" s="74"/>
      <c r="AZ143" s="74"/>
      <c r="BA143" s="74"/>
      <c r="BB143" s="74"/>
      <c r="BC143" s="74"/>
      <c r="BD143" s="74"/>
      <c r="BE143" s="74"/>
      <c r="BF143" s="74"/>
      <c r="BG143" s="74"/>
    </row>
    <row r="144" spans="2:59">
      <c r="B144" s="83">
        <v>139</v>
      </c>
      <c r="C144" s="252"/>
      <c r="D144" s="228" t="s">
        <v>1076</v>
      </c>
      <c r="E144" s="228" t="s">
        <v>1077</v>
      </c>
      <c r="F144" s="228" t="s">
        <v>6</v>
      </c>
      <c r="G144" s="228" t="s">
        <v>9</v>
      </c>
      <c r="H144" s="228" t="s">
        <v>113</v>
      </c>
      <c r="I144" s="228" t="s">
        <v>30</v>
      </c>
      <c r="J144" s="228" t="s">
        <v>112</v>
      </c>
      <c r="K144" s="229">
        <v>5</v>
      </c>
      <c r="L144" s="228" t="s">
        <v>112</v>
      </c>
      <c r="M144" s="229">
        <v>5</v>
      </c>
      <c r="N144" s="228" t="s">
        <v>112</v>
      </c>
      <c r="O144" s="229">
        <v>5</v>
      </c>
      <c r="P144" s="228" t="s">
        <v>112</v>
      </c>
      <c r="Q144" s="229">
        <v>5</v>
      </c>
      <c r="R144" s="229" t="s">
        <v>112</v>
      </c>
      <c r="S144" s="229">
        <v>5</v>
      </c>
      <c r="T144" s="229" t="s">
        <v>112</v>
      </c>
      <c r="U144" s="229">
        <v>5</v>
      </c>
      <c r="V144" s="229" t="s">
        <v>112</v>
      </c>
      <c r="W144" s="229">
        <v>5</v>
      </c>
      <c r="X144" s="229" t="s">
        <v>112</v>
      </c>
      <c r="Y144" s="229">
        <v>5</v>
      </c>
      <c r="Z144" s="229" t="s">
        <v>112</v>
      </c>
      <c r="AA144" s="229">
        <v>5</v>
      </c>
      <c r="AB144" s="233"/>
      <c r="AC144" s="72"/>
      <c r="AD144" s="72"/>
      <c r="AE144" s="72"/>
      <c r="AF144" s="72"/>
      <c r="AG144" s="72"/>
      <c r="AH144" s="72"/>
      <c r="AI144" s="73"/>
      <c r="AJ144" s="72"/>
      <c r="AK144" s="72"/>
      <c r="AL144" s="72"/>
      <c r="AM144" s="72"/>
      <c r="AN144" s="74"/>
      <c r="AO144" s="74"/>
      <c r="AP144" s="74"/>
      <c r="AQ144" s="74"/>
      <c r="AR144" s="74"/>
      <c r="AS144" s="74"/>
      <c r="AT144" s="74"/>
      <c r="AU144" s="74"/>
      <c r="AV144" s="74"/>
      <c r="AW144" s="74"/>
      <c r="AX144" s="74"/>
      <c r="AY144" s="74"/>
      <c r="AZ144" s="74"/>
      <c r="BA144" s="74"/>
      <c r="BB144" s="74"/>
      <c r="BC144" s="74"/>
      <c r="BD144" s="74"/>
      <c r="BE144" s="74"/>
      <c r="BF144" s="74"/>
      <c r="BG144" s="74"/>
    </row>
    <row r="145" spans="2:59">
      <c r="B145" s="83">
        <v>140</v>
      </c>
      <c r="C145" s="252"/>
      <c r="D145" s="228" t="s">
        <v>1078</v>
      </c>
      <c r="E145" s="228" t="s">
        <v>1079</v>
      </c>
      <c r="F145" s="228" t="s">
        <v>6</v>
      </c>
      <c r="G145" s="228" t="s">
        <v>9</v>
      </c>
      <c r="H145" s="228" t="s">
        <v>26</v>
      </c>
      <c r="I145" s="228" t="s">
        <v>30</v>
      </c>
      <c r="J145" s="228" t="s">
        <v>112</v>
      </c>
      <c r="K145" s="229">
        <v>5</v>
      </c>
      <c r="L145" s="228" t="s">
        <v>112</v>
      </c>
      <c r="M145" s="229">
        <v>5</v>
      </c>
      <c r="N145" s="228" t="s">
        <v>112</v>
      </c>
      <c r="O145" s="229">
        <v>5</v>
      </c>
      <c r="P145" s="228" t="s">
        <v>112</v>
      </c>
      <c r="Q145" s="229">
        <v>5</v>
      </c>
      <c r="R145" s="229" t="s">
        <v>112</v>
      </c>
      <c r="S145" s="229">
        <v>5</v>
      </c>
      <c r="T145" s="229" t="s">
        <v>112</v>
      </c>
      <c r="U145" s="229">
        <v>5</v>
      </c>
      <c r="V145" s="229" t="s">
        <v>112</v>
      </c>
      <c r="W145" s="229">
        <v>5</v>
      </c>
      <c r="X145" s="229" t="s">
        <v>112</v>
      </c>
      <c r="Y145" s="229">
        <v>5</v>
      </c>
      <c r="Z145" s="229" t="s">
        <v>112</v>
      </c>
      <c r="AA145" s="229">
        <v>5</v>
      </c>
      <c r="AB145" s="233"/>
      <c r="AC145" s="72"/>
      <c r="AD145" s="72"/>
      <c r="AE145" s="72"/>
      <c r="AF145" s="72"/>
      <c r="AG145" s="72"/>
      <c r="AH145" s="72"/>
      <c r="AI145" s="73"/>
      <c r="AJ145" s="72"/>
      <c r="AK145" s="72"/>
      <c r="AL145" s="72"/>
      <c r="AM145" s="72"/>
      <c r="AN145" s="74"/>
      <c r="AO145" s="74"/>
      <c r="AP145" s="74"/>
      <c r="AQ145" s="74"/>
      <c r="AR145" s="74"/>
      <c r="AS145" s="74"/>
      <c r="AT145" s="74"/>
      <c r="AU145" s="74"/>
      <c r="AV145" s="74"/>
      <c r="AW145" s="74"/>
      <c r="AX145" s="74"/>
      <c r="AY145" s="74"/>
      <c r="AZ145" s="74"/>
      <c r="BA145" s="74"/>
      <c r="BB145" s="74"/>
      <c r="BC145" s="74"/>
      <c r="BD145" s="74"/>
      <c r="BE145" s="74"/>
      <c r="BF145" s="74"/>
      <c r="BG145" s="74"/>
    </row>
    <row r="146" spans="2:59">
      <c r="B146" s="83">
        <v>141</v>
      </c>
      <c r="C146" s="252"/>
      <c r="D146" s="228" t="s">
        <v>1080</v>
      </c>
      <c r="E146" s="228" t="s">
        <v>935</v>
      </c>
      <c r="F146" s="228" t="s">
        <v>6</v>
      </c>
      <c r="G146" s="228" t="s">
        <v>18</v>
      </c>
      <c r="H146" s="228" t="s">
        <v>26</v>
      </c>
      <c r="I146" s="228" t="s">
        <v>30</v>
      </c>
      <c r="J146" s="228" t="s">
        <v>35</v>
      </c>
      <c r="K146" s="229">
        <v>3</v>
      </c>
      <c r="L146" s="228" t="s">
        <v>36</v>
      </c>
      <c r="M146" s="229">
        <v>4</v>
      </c>
      <c r="N146" s="228" t="s">
        <v>36</v>
      </c>
      <c r="O146" s="229">
        <v>4</v>
      </c>
      <c r="P146" s="228" t="s">
        <v>36</v>
      </c>
      <c r="Q146" s="229">
        <v>4</v>
      </c>
      <c r="R146" s="229" t="s">
        <v>36</v>
      </c>
      <c r="S146" s="229">
        <v>4</v>
      </c>
      <c r="T146" s="229" t="s">
        <v>35</v>
      </c>
      <c r="U146" s="229">
        <v>3</v>
      </c>
      <c r="V146" s="229" t="s">
        <v>35</v>
      </c>
      <c r="W146" s="229">
        <v>3</v>
      </c>
      <c r="X146" s="229" t="s">
        <v>36</v>
      </c>
      <c r="Y146" s="229">
        <v>4</v>
      </c>
      <c r="Z146" s="229" t="s">
        <v>36</v>
      </c>
      <c r="AA146" s="229">
        <v>4</v>
      </c>
      <c r="AB146" s="233" t="s">
        <v>1081</v>
      </c>
      <c r="AC146" s="72"/>
      <c r="AD146" s="72"/>
      <c r="AE146" s="72"/>
      <c r="AF146" s="72"/>
      <c r="AG146" s="72"/>
      <c r="AH146" s="72"/>
      <c r="AI146" s="73"/>
      <c r="AJ146" s="72"/>
      <c r="AK146" s="72"/>
      <c r="AL146" s="72"/>
      <c r="AM146" s="72"/>
      <c r="AN146" s="74"/>
      <c r="AO146" s="74"/>
      <c r="AP146" s="74"/>
      <c r="AQ146" s="74"/>
      <c r="AR146" s="74"/>
      <c r="AS146" s="74"/>
      <c r="AT146" s="74"/>
      <c r="AU146" s="74"/>
      <c r="AV146" s="74"/>
      <c r="AW146" s="74"/>
      <c r="AX146" s="74"/>
      <c r="AY146" s="74"/>
      <c r="AZ146" s="74"/>
      <c r="BA146" s="74"/>
      <c r="BB146" s="74"/>
      <c r="BC146" s="74"/>
      <c r="BD146" s="74"/>
      <c r="BE146" s="74"/>
      <c r="BF146" s="74"/>
      <c r="BG146" s="74"/>
    </row>
    <row r="147" spans="2:59">
      <c r="B147" s="83">
        <v>142</v>
      </c>
      <c r="C147" s="252"/>
      <c r="D147" s="228" t="s">
        <v>1082</v>
      </c>
      <c r="E147" s="228" t="s">
        <v>1083</v>
      </c>
      <c r="F147" s="228" t="s">
        <v>6</v>
      </c>
      <c r="G147" s="228" t="s">
        <v>9</v>
      </c>
      <c r="H147" s="228" t="s">
        <v>25</v>
      </c>
      <c r="I147" s="228" t="s">
        <v>30</v>
      </c>
      <c r="J147" s="228" t="s">
        <v>112</v>
      </c>
      <c r="K147" s="229">
        <v>5</v>
      </c>
      <c r="L147" s="228" t="s">
        <v>112</v>
      </c>
      <c r="M147" s="229">
        <v>5</v>
      </c>
      <c r="N147" s="228" t="s">
        <v>112</v>
      </c>
      <c r="O147" s="229">
        <v>5</v>
      </c>
      <c r="P147" s="228" t="s">
        <v>112</v>
      </c>
      <c r="Q147" s="229">
        <v>5</v>
      </c>
      <c r="R147" s="229" t="s">
        <v>112</v>
      </c>
      <c r="S147" s="229">
        <v>5</v>
      </c>
      <c r="T147" s="229" t="s">
        <v>112</v>
      </c>
      <c r="U147" s="229">
        <v>5</v>
      </c>
      <c r="V147" s="229" t="s">
        <v>112</v>
      </c>
      <c r="W147" s="229">
        <v>5</v>
      </c>
      <c r="X147" s="229" t="s">
        <v>112</v>
      </c>
      <c r="Y147" s="229">
        <v>5</v>
      </c>
      <c r="Z147" s="229" t="s">
        <v>112</v>
      </c>
      <c r="AA147" s="229">
        <v>5</v>
      </c>
      <c r="AB147" s="233" t="s">
        <v>1084</v>
      </c>
      <c r="AC147" s="72"/>
      <c r="AD147" s="72"/>
      <c r="AE147" s="72"/>
      <c r="AF147" s="72"/>
      <c r="AG147" s="72"/>
      <c r="AH147" s="72"/>
      <c r="AI147" s="73"/>
      <c r="AJ147" s="72"/>
      <c r="AK147" s="72"/>
      <c r="AL147" s="72"/>
      <c r="AM147" s="72"/>
      <c r="AN147" s="74"/>
      <c r="AO147" s="74"/>
      <c r="AP147" s="74"/>
      <c r="AQ147" s="74"/>
      <c r="AR147" s="74"/>
      <c r="AS147" s="74"/>
      <c r="AT147" s="74"/>
      <c r="AU147" s="74"/>
      <c r="AV147" s="74"/>
      <c r="AW147" s="74"/>
      <c r="AX147" s="74"/>
      <c r="AY147" s="74"/>
      <c r="AZ147" s="74"/>
      <c r="BA147" s="74"/>
      <c r="BB147" s="74"/>
      <c r="BC147" s="74"/>
      <c r="BD147" s="74"/>
      <c r="BE147" s="74"/>
      <c r="BF147" s="74"/>
      <c r="BG147" s="74"/>
    </row>
    <row r="148" spans="2:59">
      <c r="B148" s="83">
        <v>143</v>
      </c>
      <c r="C148" s="252"/>
      <c r="D148" s="228" t="s">
        <v>1085</v>
      </c>
      <c r="E148" s="228" t="s">
        <v>1086</v>
      </c>
      <c r="F148" s="228" t="s">
        <v>6</v>
      </c>
      <c r="G148" s="228" t="s">
        <v>9</v>
      </c>
      <c r="H148" s="228" t="s">
        <v>26</v>
      </c>
      <c r="I148" s="228" t="s">
        <v>28</v>
      </c>
      <c r="J148" s="228" t="s">
        <v>112</v>
      </c>
      <c r="K148" s="229">
        <v>5</v>
      </c>
      <c r="L148" s="228" t="s">
        <v>112</v>
      </c>
      <c r="M148" s="229">
        <v>5</v>
      </c>
      <c r="N148" s="228" t="s">
        <v>112</v>
      </c>
      <c r="O148" s="229">
        <v>5</v>
      </c>
      <c r="P148" s="228" t="s">
        <v>112</v>
      </c>
      <c r="Q148" s="229">
        <v>5</v>
      </c>
      <c r="R148" s="229" t="s">
        <v>112</v>
      </c>
      <c r="S148" s="229">
        <v>5</v>
      </c>
      <c r="T148" s="229" t="s">
        <v>112</v>
      </c>
      <c r="U148" s="229">
        <v>5</v>
      </c>
      <c r="V148" s="229" t="s">
        <v>112</v>
      </c>
      <c r="W148" s="229">
        <v>5</v>
      </c>
      <c r="X148" s="229" t="s">
        <v>35</v>
      </c>
      <c r="Y148" s="229">
        <v>3</v>
      </c>
      <c r="Z148" s="229" t="s">
        <v>112</v>
      </c>
      <c r="AA148" s="229">
        <v>5</v>
      </c>
      <c r="AB148" s="233" t="s">
        <v>1087</v>
      </c>
      <c r="AC148" s="72"/>
      <c r="AD148" s="72"/>
      <c r="AE148" s="72"/>
      <c r="AF148" s="72"/>
      <c r="AG148" s="72"/>
      <c r="AH148" s="72"/>
      <c r="AI148" s="73"/>
      <c r="AJ148" s="72"/>
      <c r="AK148" s="72"/>
      <c r="AL148" s="72"/>
      <c r="AM148" s="72"/>
      <c r="AN148" s="74"/>
      <c r="AO148" s="74"/>
      <c r="AP148" s="74"/>
      <c r="AQ148" s="74"/>
      <c r="AR148" s="74"/>
      <c r="AS148" s="74"/>
      <c r="AT148" s="74"/>
      <c r="AU148" s="74"/>
      <c r="AV148" s="74"/>
      <c r="AW148" s="74"/>
      <c r="AX148" s="74"/>
      <c r="AY148" s="74"/>
      <c r="AZ148" s="74"/>
      <c r="BA148" s="74"/>
      <c r="BB148" s="74"/>
      <c r="BC148" s="74"/>
      <c r="BD148" s="74"/>
      <c r="BE148" s="74"/>
      <c r="BF148" s="74"/>
      <c r="BG148" s="74"/>
    </row>
    <row r="149" spans="2:59">
      <c r="B149" s="83">
        <v>144</v>
      </c>
      <c r="C149" s="252"/>
      <c r="D149" s="228" t="s">
        <v>1088</v>
      </c>
      <c r="E149" s="228" t="s">
        <v>1089</v>
      </c>
      <c r="F149" s="228" t="s">
        <v>6</v>
      </c>
      <c r="G149" s="228" t="s">
        <v>9</v>
      </c>
      <c r="H149" s="228" t="s">
        <v>26</v>
      </c>
      <c r="I149" s="228" t="s">
        <v>30</v>
      </c>
      <c r="J149" s="228" t="s">
        <v>112</v>
      </c>
      <c r="K149" s="229">
        <v>5</v>
      </c>
      <c r="L149" s="228" t="s">
        <v>112</v>
      </c>
      <c r="M149" s="229">
        <v>5</v>
      </c>
      <c r="N149" s="228" t="s">
        <v>112</v>
      </c>
      <c r="O149" s="229">
        <v>5</v>
      </c>
      <c r="P149" s="228" t="s">
        <v>112</v>
      </c>
      <c r="Q149" s="229">
        <v>5</v>
      </c>
      <c r="R149" s="229" t="s">
        <v>112</v>
      </c>
      <c r="S149" s="229">
        <v>5</v>
      </c>
      <c r="T149" s="229" t="s">
        <v>112</v>
      </c>
      <c r="U149" s="229">
        <v>5</v>
      </c>
      <c r="V149" s="229" t="s">
        <v>112</v>
      </c>
      <c r="W149" s="229">
        <v>5</v>
      </c>
      <c r="X149" s="229" t="s">
        <v>112</v>
      </c>
      <c r="Y149" s="229">
        <v>5</v>
      </c>
      <c r="Z149" s="229" t="s">
        <v>112</v>
      </c>
      <c r="AA149" s="229">
        <v>5</v>
      </c>
      <c r="AB149" s="233"/>
      <c r="AC149" s="72"/>
      <c r="AD149" s="72"/>
      <c r="AE149" s="72"/>
      <c r="AF149" s="72"/>
      <c r="AG149" s="72"/>
      <c r="AH149" s="72"/>
      <c r="AI149" s="73"/>
      <c r="AJ149" s="72"/>
      <c r="AK149" s="72"/>
      <c r="AL149" s="72"/>
      <c r="AM149" s="72"/>
      <c r="AN149" s="74"/>
      <c r="AO149" s="74"/>
      <c r="AP149" s="74"/>
      <c r="AQ149" s="74"/>
      <c r="AR149" s="74"/>
      <c r="AS149" s="74"/>
      <c r="AT149" s="74"/>
      <c r="AU149" s="74"/>
      <c r="AV149" s="74"/>
      <c r="AW149" s="74"/>
      <c r="AX149" s="74"/>
      <c r="AY149" s="74"/>
      <c r="AZ149" s="74"/>
      <c r="BA149" s="74"/>
      <c r="BB149" s="74"/>
      <c r="BC149" s="74"/>
      <c r="BD149" s="74"/>
      <c r="BE149" s="74"/>
      <c r="BF149" s="74"/>
      <c r="BG149" s="74"/>
    </row>
    <row r="150" spans="2:59">
      <c r="B150" s="83">
        <v>145</v>
      </c>
      <c r="C150" s="252"/>
      <c r="D150" s="228" t="s">
        <v>1090</v>
      </c>
      <c r="E150" s="228" t="s">
        <v>1091</v>
      </c>
      <c r="F150" s="228" t="s">
        <v>6</v>
      </c>
      <c r="G150" s="228" t="s">
        <v>9</v>
      </c>
      <c r="H150" s="228" t="s">
        <v>113</v>
      </c>
      <c r="I150" s="228" t="s">
        <v>30</v>
      </c>
      <c r="J150" s="228" t="s">
        <v>112</v>
      </c>
      <c r="K150" s="229">
        <v>5</v>
      </c>
      <c r="L150" s="228" t="s">
        <v>112</v>
      </c>
      <c r="M150" s="229">
        <v>5</v>
      </c>
      <c r="N150" s="228" t="s">
        <v>112</v>
      </c>
      <c r="O150" s="229">
        <v>5</v>
      </c>
      <c r="P150" s="228" t="s">
        <v>112</v>
      </c>
      <c r="Q150" s="229">
        <v>5</v>
      </c>
      <c r="R150" s="229" t="s">
        <v>112</v>
      </c>
      <c r="S150" s="229">
        <v>5</v>
      </c>
      <c r="T150" s="229" t="s">
        <v>112</v>
      </c>
      <c r="U150" s="229">
        <v>5</v>
      </c>
      <c r="V150" s="229" t="s">
        <v>112</v>
      </c>
      <c r="W150" s="229">
        <v>5</v>
      </c>
      <c r="X150" s="229" t="s">
        <v>112</v>
      </c>
      <c r="Y150" s="229">
        <v>5</v>
      </c>
      <c r="Z150" s="229" t="s">
        <v>112</v>
      </c>
      <c r="AA150" s="229">
        <v>5</v>
      </c>
      <c r="AB150" s="233" t="s">
        <v>1092</v>
      </c>
      <c r="AC150" s="72"/>
      <c r="AD150" s="72"/>
      <c r="AE150" s="72"/>
      <c r="AF150" s="72"/>
      <c r="AG150" s="72"/>
      <c r="AH150" s="72"/>
      <c r="AI150" s="73"/>
      <c r="AJ150" s="72"/>
      <c r="AK150" s="72"/>
      <c r="AL150" s="72"/>
      <c r="AM150" s="72"/>
      <c r="AN150" s="74"/>
      <c r="AO150" s="74"/>
      <c r="AP150" s="74"/>
      <c r="AQ150" s="74"/>
      <c r="AR150" s="74"/>
      <c r="AS150" s="74"/>
      <c r="AT150" s="74"/>
      <c r="AU150" s="74"/>
      <c r="AV150" s="74"/>
      <c r="AW150" s="74"/>
      <c r="AX150" s="74"/>
      <c r="AY150" s="74"/>
      <c r="AZ150" s="74"/>
      <c r="BA150" s="74"/>
      <c r="BB150" s="74"/>
      <c r="BC150" s="74"/>
      <c r="BD150" s="74"/>
      <c r="BE150" s="74"/>
      <c r="BF150" s="74"/>
      <c r="BG150" s="74"/>
    </row>
    <row r="151" spans="2:59">
      <c r="B151" s="83">
        <v>146</v>
      </c>
      <c r="C151" s="252"/>
      <c r="D151" s="228" t="s">
        <v>1093</v>
      </c>
      <c r="E151" s="228" t="s">
        <v>1094</v>
      </c>
      <c r="F151" s="228" t="s">
        <v>6</v>
      </c>
      <c r="G151" s="228" t="s">
        <v>18</v>
      </c>
      <c r="H151" s="228" t="s">
        <v>113</v>
      </c>
      <c r="I151" s="228" t="s">
        <v>30</v>
      </c>
      <c r="J151" s="228" t="s">
        <v>112</v>
      </c>
      <c r="K151" s="229">
        <v>5</v>
      </c>
      <c r="L151" s="228" t="s">
        <v>112</v>
      </c>
      <c r="M151" s="229">
        <v>5</v>
      </c>
      <c r="N151" s="228" t="s">
        <v>112</v>
      </c>
      <c r="O151" s="229">
        <v>5</v>
      </c>
      <c r="P151" s="228" t="s">
        <v>112</v>
      </c>
      <c r="Q151" s="229">
        <v>5</v>
      </c>
      <c r="R151" s="229" t="s">
        <v>112</v>
      </c>
      <c r="S151" s="229">
        <v>5</v>
      </c>
      <c r="T151" s="229" t="s">
        <v>112</v>
      </c>
      <c r="U151" s="229">
        <v>5</v>
      </c>
      <c r="V151" s="229" t="s">
        <v>112</v>
      </c>
      <c r="W151" s="229">
        <v>5</v>
      </c>
      <c r="X151" s="229" t="s">
        <v>112</v>
      </c>
      <c r="Y151" s="229">
        <v>5</v>
      </c>
      <c r="Z151" s="229" t="s">
        <v>112</v>
      </c>
      <c r="AA151" s="229">
        <v>5</v>
      </c>
      <c r="AB151" s="233"/>
      <c r="AC151" s="72"/>
      <c r="AD151" s="72"/>
      <c r="AE151" s="72"/>
      <c r="AF151" s="72"/>
      <c r="AG151" s="72"/>
      <c r="AH151" s="72"/>
      <c r="AI151" s="73"/>
      <c r="AJ151" s="72"/>
      <c r="AK151" s="72"/>
      <c r="AL151" s="72"/>
      <c r="AM151" s="72"/>
      <c r="AN151" s="74"/>
      <c r="AO151" s="74"/>
      <c r="AP151" s="74"/>
      <c r="AQ151" s="74"/>
      <c r="AR151" s="74"/>
      <c r="AS151" s="74"/>
      <c r="AT151" s="74"/>
      <c r="AU151" s="74"/>
      <c r="AV151" s="74"/>
      <c r="AW151" s="74"/>
      <c r="AX151" s="74"/>
      <c r="AY151" s="74"/>
      <c r="AZ151" s="74"/>
      <c r="BA151" s="74"/>
      <c r="BB151" s="74"/>
      <c r="BC151" s="74"/>
      <c r="BD151" s="74"/>
      <c r="BE151" s="74"/>
      <c r="BF151" s="74"/>
      <c r="BG151" s="74"/>
    </row>
    <row r="152" spans="2:59">
      <c r="B152" s="83">
        <v>147</v>
      </c>
      <c r="C152" s="252"/>
      <c r="D152" s="228" t="s">
        <v>1095</v>
      </c>
      <c r="E152" s="228" t="s">
        <v>1096</v>
      </c>
      <c r="F152" s="228" t="s">
        <v>6</v>
      </c>
      <c r="G152" s="228" t="s">
        <v>9</v>
      </c>
      <c r="H152" s="228" t="s">
        <v>113</v>
      </c>
      <c r="I152" s="228" t="s">
        <v>30</v>
      </c>
      <c r="J152" s="228" t="s">
        <v>112</v>
      </c>
      <c r="K152" s="229">
        <v>5</v>
      </c>
      <c r="L152" s="228" t="s">
        <v>112</v>
      </c>
      <c r="M152" s="229">
        <v>5</v>
      </c>
      <c r="N152" s="228" t="s">
        <v>112</v>
      </c>
      <c r="O152" s="229">
        <v>5</v>
      </c>
      <c r="P152" s="228" t="s">
        <v>112</v>
      </c>
      <c r="Q152" s="229">
        <v>5</v>
      </c>
      <c r="R152" s="229" t="s">
        <v>112</v>
      </c>
      <c r="S152" s="229">
        <v>5</v>
      </c>
      <c r="T152" s="229" t="s">
        <v>112</v>
      </c>
      <c r="U152" s="229">
        <v>5</v>
      </c>
      <c r="V152" s="229" t="s">
        <v>112</v>
      </c>
      <c r="W152" s="229">
        <v>5</v>
      </c>
      <c r="X152" s="229" t="s">
        <v>112</v>
      </c>
      <c r="Y152" s="229">
        <v>5</v>
      </c>
      <c r="Z152" s="229" t="s">
        <v>112</v>
      </c>
      <c r="AA152" s="229">
        <v>5</v>
      </c>
      <c r="AB152" s="233" t="s">
        <v>1097</v>
      </c>
      <c r="AC152" s="72"/>
      <c r="AD152" s="72"/>
      <c r="AE152" s="72"/>
      <c r="AF152" s="72"/>
      <c r="AG152" s="72"/>
      <c r="AH152" s="72"/>
      <c r="AI152" s="73"/>
      <c r="AJ152" s="72"/>
      <c r="AK152" s="72"/>
      <c r="AL152" s="72"/>
      <c r="AM152" s="72"/>
      <c r="AN152" s="74"/>
      <c r="AO152" s="74"/>
      <c r="AP152" s="74"/>
      <c r="AQ152" s="74"/>
      <c r="AR152" s="74"/>
      <c r="AS152" s="74"/>
      <c r="AT152" s="74"/>
      <c r="AU152" s="74"/>
      <c r="AV152" s="74"/>
      <c r="AW152" s="74"/>
      <c r="AX152" s="74"/>
      <c r="AY152" s="74"/>
      <c r="AZ152" s="74"/>
      <c r="BA152" s="74"/>
      <c r="BB152" s="74"/>
      <c r="BC152" s="74"/>
      <c r="BD152" s="74"/>
      <c r="BE152" s="74"/>
      <c r="BF152" s="74"/>
      <c r="BG152" s="74"/>
    </row>
    <row r="153" spans="2:59">
      <c r="B153" s="83">
        <v>148</v>
      </c>
      <c r="C153" s="252"/>
      <c r="D153" s="228" t="s">
        <v>1098</v>
      </c>
      <c r="E153" s="228" t="s">
        <v>1099</v>
      </c>
      <c r="F153" s="228" t="s">
        <v>6</v>
      </c>
      <c r="G153" s="228" t="s">
        <v>9</v>
      </c>
      <c r="H153" s="228" t="s">
        <v>113</v>
      </c>
      <c r="I153" s="228" t="s">
        <v>30</v>
      </c>
      <c r="J153" s="228" t="s">
        <v>112</v>
      </c>
      <c r="K153" s="229">
        <v>5</v>
      </c>
      <c r="L153" s="228" t="s">
        <v>112</v>
      </c>
      <c r="M153" s="229">
        <v>5</v>
      </c>
      <c r="N153" s="228" t="s">
        <v>112</v>
      </c>
      <c r="O153" s="229">
        <v>5</v>
      </c>
      <c r="P153" s="228" t="s">
        <v>112</v>
      </c>
      <c r="Q153" s="229">
        <v>5</v>
      </c>
      <c r="R153" s="229" t="s">
        <v>112</v>
      </c>
      <c r="S153" s="229">
        <v>5</v>
      </c>
      <c r="T153" s="229" t="s">
        <v>112</v>
      </c>
      <c r="U153" s="229">
        <v>5</v>
      </c>
      <c r="V153" s="229" t="s">
        <v>112</v>
      </c>
      <c r="W153" s="229">
        <v>5</v>
      </c>
      <c r="X153" s="229" t="s">
        <v>112</v>
      </c>
      <c r="Y153" s="229">
        <v>5</v>
      </c>
      <c r="Z153" s="229" t="s">
        <v>112</v>
      </c>
      <c r="AA153" s="229">
        <v>5</v>
      </c>
      <c r="AB153" s="233" t="s">
        <v>1100</v>
      </c>
      <c r="AC153" s="72"/>
      <c r="AD153" s="72"/>
      <c r="AE153" s="72"/>
      <c r="AF153" s="72"/>
      <c r="AG153" s="72"/>
      <c r="AH153" s="72"/>
      <c r="AI153" s="73"/>
      <c r="AJ153" s="72"/>
      <c r="AK153" s="72"/>
      <c r="AL153" s="72"/>
      <c r="AM153" s="72"/>
      <c r="AN153" s="74"/>
      <c r="AO153" s="74"/>
      <c r="AP153" s="74"/>
      <c r="AQ153" s="74"/>
      <c r="AR153" s="74"/>
      <c r="AS153" s="74"/>
      <c r="AT153" s="74"/>
      <c r="AU153" s="74"/>
      <c r="AV153" s="74"/>
      <c r="AW153" s="74"/>
      <c r="AX153" s="74"/>
      <c r="AY153" s="74"/>
      <c r="AZ153" s="74"/>
      <c r="BA153" s="74"/>
      <c r="BB153" s="74"/>
      <c r="BC153" s="74"/>
      <c r="BD153" s="74"/>
      <c r="BE153" s="74"/>
      <c r="BF153" s="74"/>
      <c r="BG153" s="74"/>
    </row>
    <row r="154" spans="2:59">
      <c r="B154" s="83">
        <v>149</v>
      </c>
      <c r="C154" s="252"/>
      <c r="D154" s="228" t="s">
        <v>1101</v>
      </c>
      <c r="E154" s="228" t="s">
        <v>1102</v>
      </c>
      <c r="F154" s="228" t="s">
        <v>6</v>
      </c>
      <c r="G154" s="228" t="s">
        <v>9</v>
      </c>
      <c r="H154" s="228" t="s">
        <v>113</v>
      </c>
      <c r="I154" s="228" t="s">
        <v>30</v>
      </c>
      <c r="J154" s="228" t="s">
        <v>112</v>
      </c>
      <c r="K154" s="229">
        <v>5</v>
      </c>
      <c r="L154" s="228" t="s">
        <v>112</v>
      </c>
      <c r="M154" s="229">
        <v>5</v>
      </c>
      <c r="N154" s="228" t="s">
        <v>112</v>
      </c>
      <c r="O154" s="229">
        <v>5</v>
      </c>
      <c r="P154" s="228" t="s">
        <v>112</v>
      </c>
      <c r="Q154" s="229">
        <v>5</v>
      </c>
      <c r="R154" s="229" t="s">
        <v>112</v>
      </c>
      <c r="S154" s="229">
        <v>5</v>
      </c>
      <c r="T154" s="229" t="s">
        <v>112</v>
      </c>
      <c r="U154" s="229">
        <v>5</v>
      </c>
      <c r="V154" s="229" t="s">
        <v>112</v>
      </c>
      <c r="W154" s="229">
        <v>5</v>
      </c>
      <c r="X154" s="229" t="s">
        <v>36</v>
      </c>
      <c r="Y154" s="229">
        <v>4</v>
      </c>
      <c r="Z154" s="229" t="s">
        <v>36</v>
      </c>
      <c r="AA154" s="229">
        <v>4</v>
      </c>
      <c r="AB154" s="233" t="s">
        <v>1103</v>
      </c>
      <c r="AC154" s="72"/>
      <c r="AD154" s="72"/>
      <c r="AE154" s="72"/>
      <c r="AF154" s="72"/>
      <c r="AG154" s="72"/>
      <c r="AH154" s="72"/>
      <c r="AI154" s="73"/>
      <c r="AJ154" s="72"/>
      <c r="AK154" s="72"/>
      <c r="AL154" s="72"/>
      <c r="AM154" s="72"/>
      <c r="AN154" s="74"/>
      <c r="AO154" s="74"/>
      <c r="AP154" s="74"/>
      <c r="AQ154" s="74"/>
      <c r="AR154" s="74"/>
      <c r="AS154" s="74"/>
      <c r="AT154" s="74"/>
      <c r="AU154" s="74"/>
      <c r="AV154" s="74"/>
      <c r="AW154" s="74"/>
      <c r="AX154" s="74"/>
      <c r="AY154" s="74"/>
      <c r="AZ154" s="74"/>
      <c r="BA154" s="74"/>
      <c r="BB154" s="74"/>
      <c r="BC154" s="74"/>
      <c r="BD154" s="74"/>
      <c r="BE154" s="74"/>
      <c r="BF154" s="74"/>
      <c r="BG154" s="74"/>
    </row>
    <row r="155" spans="2:59">
      <c r="B155" s="83">
        <v>150</v>
      </c>
      <c r="C155" s="252"/>
      <c r="D155" s="228" t="s">
        <v>1104</v>
      </c>
      <c r="E155" s="228" t="s">
        <v>1105</v>
      </c>
      <c r="F155" s="228" t="s">
        <v>6</v>
      </c>
      <c r="G155" s="228" t="s">
        <v>18</v>
      </c>
      <c r="H155" s="228" t="s">
        <v>113</v>
      </c>
      <c r="I155" s="228" t="s">
        <v>30</v>
      </c>
      <c r="J155" s="228" t="s">
        <v>112</v>
      </c>
      <c r="K155" s="229">
        <v>5</v>
      </c>
      <c r="L155" s="228" t="s">
        <v>112</v>
      </c>
      <c r="M155" s="229">
        <v>5</v>
      </c>
      <c r="N155" s="228" t="s">
        <v>112</v>
      </c>
      <c r="O155" s="229">
        <v>5</v>
      </c>
      <c r="P155" s="228" t="s">
        <v>112</v>
      </c>
      <c r="Q155" s="229">
        <v>5</v>
      </c>
      <c r="R155" s="229" t="s">
        <v>112</v>
      </c>
      <c r="S155" s="229">
        <v>5</v>
      </c>
      <c r="T155" s="229" t="s">
        <v>112</v>
      </c>
      <c r="U155" s="229">
        <v>5</v>
      </c>
      <c r="V155" s="229" t="s">
        <v>36</v>
      </c>
      <c r="W155" s="229">
        <v>4</v>
      </c>
      <c r="X155" s="229" t="s">
        <v>36</v>
      </c>
      <c r="Y155" s="229">
        <v>4</v>
      </c>
      <c r="Z155" s="229" t="s">
        <v>36</v>
      </c>
      <c r="AA155" s="229">
        <v>4</v>
      </c>
      <c r="AB155" s="233" t="s">
        <v>1106</v>
      </c>
      <c r="AC155" s="72"/>
      <c r="AD155" s="72"/>
      <c r="AE155" s="72"/>
      <c r="AF155" s="72"/>
      <c r="AG155" s="72"/>
      <c r="AH155" s="72"/>
      <c r="AI155" s="73"/>
      <c r="AJ155" s="72"/>
      <c r="AK155" s="72"/>
      <c r="AL155" s="72"/>
      <c r="AM155" s="72"/>
      <c r="AN155" s="74"/>
      <c r="AO155" s="74"/>
      <c r="AP155" s="74"/>
      <c r="AQ155" s="74"/>
      <c r="AR155" s="74"/>
      <c r="AS155" s="74"/>
      <c r="AT155" s="74"/>
      <c r="AU155" s="74"/>
      <c r="AV155" s="74"/>
      <c r="AW155" s="74"/>
      <c r="AX155" s="74"/>
      <c r="AY155" s="74"/>
      <c r="AZ155" s="74"/>
      <c r="BA155" s="74"/>
      <c r="BB155" s="74"/>
      <c r="BC155" s="74"/>
      <c r="BD155" s="74"/>
      <c r="BE155" s="74"/>
      <c r="BF155" s="74"/>
      <c r="BG155" s="74"/>
    </row>
    <row r="156" spans="2:59">
      <c r="B156" s="83">
        <v>151</v>
      </c>
      <c r="C156" s="252"/>
      <c r="D156" s="228" t="s">
        <v>1107</v>
      </c>
      <c r="E156" s="228" t="s">
        <v>1108</v>
      </c>
      <c r="F156" s="228" t="s">
        <v>6</v>
      </c>
      <c r="G156" s="228" t="s">
        <v>19</v>
      </c>
      <c r="H156" s="228" t="s">
        <v>113</v>
      </c>
      <c r="I156" s="228" t="s">
        <v>29</v>
      </c>
      <c r="J156" s="228" t="s">
        <v>112</v>
      </c>
      <c r="K156" s="229">
        <v>5</v>
      </c>
      <c r="L156" s="228" t="s">
        <v>112</v>
      </c>
      <c r="M156" s="229">
        <v>5</v>
      </c>
      <c r="N156" s="228" t="s">
        <v>112</v>
      </c>
      <c r="O156" s="229">
        <v>5</v>
      </c>
      <c r="P156" s="228" t="s">
        <v>112</v>
      </c>
      <c r="Q156" s="229">
        <v>5</v>
      </c>
      <c r="R156" s="229" t="s">
        <v>112</v>
      </c>
      <c r="S156" s="229">
        <v>5</v>
      </c>
      <c r="T156" s="229" t="s">
        <v>112</v>
      </c>
      <c r="U156" s="229">
        <v>5</v>
      </c>
      <c r="V156" s="229" t="s">
        <v>112</v>
      </c>
      <c r="W156" s="229">
        <v>5</v>
      </c>
      <c r="X156" s="229" t="s">
        <v>112</v>
      </c>
      <c r="Y156" s="229">
        <v>5</v>
      </c>
      <c r="Z156" s="229" t="s">
        <v>112</v>
      </c>
      <c r="AA156" s="229">
        <v>5</v>
      </c>
      <c r="AB156" s="233" t="s">
        <v>1109</v>
      </c>
      <c r="AC156" s="72"/>
      <c r="AD156" s="72"/>
      <c r="AE156" s="72"/>
      <c r="AF156" s="72"/>
      <c r="AG156" s="72"/>
      <c r="AH156" s="72"/>
      <c r="AI156" s="73"/>
      <c r="AJ156" s="72"/>
      <c r="AK156" s="72"/>
      <c r="AL156" s="72"/>
      <c r="AM156" s="72"/>
      <c r="AN156" s="74"/>
      <c r="AO156" s="74"/>
      <c r="AP156" s="74"/>
      <c r="AQ156" s="74"/>
      <c r="AR156" s="74"/>
      <c r="AS156" s="74"/>
      <c r="AT156" s="74"/>
      <c r="AU156" s="74"/>
      <c r="AV156" s="74"/>
      <c r="AW156" s="74"/>
      <c r="AX156" s="74"/>
      <c r="AY156" s="74"/>
      <c r="AZ156" s="74"/>
      <c r="BA156" s="74"/>
      <c r="BB156" s="74"/>
      <c r="BC156" s="74"/>
      <c r="BD156" s="74"/>
      <c r="BE156" s="74"/>
      <c r="BF156" s="74"/>
      <c r="BG156" s="74"/>
    </row>
    <row r="157" spans="2:59">
      <c r="B157" s="83">
        <v>152</v>
      </c>
      <c r="C157" s="252"/>
      <c r="D157" s="228" t="s">
        <v>1110</v>
      </c>
      <c r="E157" s="228" t="s">
        <v>1111</v>
      </c>
      <c r="F157" s="228" t="s">
        <v>6</v>
      </c>
      <c r="G157" s="228" t="s">
        <v>19</v>
      </c>
      <c r="H157" s="228" t="s">
        <v>26</v>
      </c>
      <c r="I157" s="228" t="s">
        <v>30</v>
      </c>
      <c r="J157" s="228" t="s">
        <v>112</v>
      </c>
      <c r="K157" s="229">
        <v>5</v>
      </c>
      <c r="L157" s="228" t="s">
        <v>112</v>
      </c>
      <c r="M157" s="229">
        <v>5</v>
      </c>
      <c r="N157" s="228" t="s">
        <v>112</v>
      </c>
      <c r="O157" s="229">
        <v>5</v>
      </c>
      <c r="P157" s="228" t="s">
        <v>36</v>
      </c>
      <c r="Q157" s="229">
        <v>4</v>
      </c>
      <c r="R157" s="229" t="s">
        <v>112</v>
      </c>
      <c r="S157" s="229">
        <v>5</v>
      </c>
      <c r="T157" s="229" t="s">
        <v>112</v>
      </c>
      <c r="U157" s="229">
        <v>5</v>
      </c>
      <c r="V157" s="229" t="s">
        <v>112</v>
      </c>
      <c r="W157" s="229">
        <v>5</v>
      </c>
      <c r="X157" s="229" t="s">
        <v>112</v>
      </c>
      <c r="Y157" s="229">
        <v>5</v>
      </c>
      <c r="Z157" s="229" t="s">
        <v>112</v>
      </c>
      <c r="AA157" s="229">
        <v>5</v>
      </c>
      <c r="AB157" s="233" t="s">
        <v>1112</v>
      </c>
      <c r="AC157" s="72"/>
      <c r="AD157" s="72"/>
      <c r="AE157" s="72"/>
      <c r="AF157" s="72"/>
      <c r="AG157" s="72"/>
      <c r="AH157" s="72"/>
      <c r="AI157" s="73"/>
      <c r="AJ157" s="72"/>
      <c r="AK157" s="72"/>
      <c r="AL157" s="72"/>
      <c r="AM157" s="72"/>
      <c r="AN157" s="74"/>
      <c r="AO157" s="74"/>
      <c r="AP157" s="74"/>
      <c r="AQ157" s="74"/>
      <c r="AR157" s="74"/>
      <c r="AS157" s="74"/>
      <c r="AT157" s="74"/>
      <c r="AU157" s="74"/>
      <c r="AV157" s="74"/>
      <c r="AW157" s="74"/>
      <c r="AX157" s="74"/>
      <c r="AY157" s="74"/>
      <c r="AZ157" s="74"/>
      <c r="BA157" s="74"/>
      <c r="BB157" s="74"/>
      <c r="BC157" s="74"/>
      <c r="BD157" s="74"/>
      <c r="BE157" s="74"/>
      <c r="BF157" s="74"/>
      <c r="BG157" s="74"/>
    </row>
    <row r="158" spans="2:59">
      <c r="B158" s="83">
        <v>153</v>
      </c>
      <c r="C158" s="252"/>
      <c r="D158" s="228" t="s">
        <v>1113</v>
      </c>
      <c r="E158" s="228" t="s">
        <v>1114</v>
      </c>
      <c r="F158" s="228" t="s">
        <v>6</v>
      </c>
      <c r="G158" s="228" t="s">
        <v>19</v>
      </c>
      <c r="H158" s="228" t="s">
        <v>113</v>
      </c>
      <c r="I158" s="228" t="s">
        <v>30</v>
      </c>
      <c r="J158" s="228" t="s">
        <v>112</v>
      </c>
      <c r="K158" s="229">
        <v>5</v>
      </c>
      <c r="L158" s="228" t="s">
        <v>36</v>
      </c>
      <c r="M158" s="229">
        <v>4</v>
      </c>
      <c r="N158" s="228" t="s">
        <v>112</v>
      </c>
      <c r="O158" s="229">
        <v>5</v>
      </c>
      <c r="P158" s="228" t="s">
        <v>112</v>
      </c>
      <c r="Q158" s="229">
        <v>5</v>
      </c>
      <c r="R158" s="229" t="s">
        <v>112</v>
      </c>
      <c r="S158" s="229">
        <v>5</v>
      </c>
      <c r="T158" s="229" t="s">
        <v>36</v>
      </c>
      <c r="U158" s="229">
        <v>4</v>
      </c>
      <c r="V158" s="229" t="s">
        <v>35</v>
      </c>
      <c r="W158" s="229">
        <v>3</v>
      </c>
      <c r="X158" s="229" t="s">
        <v>36</v>
      </c>
      <c r="Y158" s="229">
        <v>4</v>
      </c>
      <c r="Z158" s="229" t="s">
        <v>112</v>
      </c>
      <c r="AA158" s="229">
        <v>5</v>
      </c>
      <c r="AB158" s="233"/>
      <c r="AC158" s="72"/>
      <c r="AD158" s="72"/>
      <c r="AE158" s="72"/>
      <c r="AF158" s="72"/>
      <c r="AG158" s="72"/>
      <c r="AH158" s="72"/>
      <c r="AI158" s="73"/>
      <c r="AJ158" s="72"/>
      <c r="AK158" s="72"/>
      <c r="AL158" s="72"/>
      <c r="AM158" s="72"/>
      <c r="AN158" s="74"/>
      <c r="AO158" s="74"/>
      <c r="AP158" s="74"/>
      <c r="AQ158" s="74"/>
      <c r="AR158" s="74"/>
      <c r="AS158" s="74"/>
      <c r="AT158" s="74"/>
      <c r="AU158" s="74"/>
      <c r="AV158" s="74"/>
      <c r="AW158" s="74"/>
      <c r="AX158" s="74"/>
      <c r="AY158" s="74"/>
      <c r="AZ158" s="74"/>
      <c r="BA158" s="74"/>
      <c r="BB158" s="74"/>
      <c r="BC158" s="74"/>
      <c r="BD158" s="74"/>
      <c r="BE158" s="74"/>
      <c r="BF158" s="74"/>
      <c r="BG158" s="74"/>
    </row>
    <row r="159" spans="2:59">
      <c r="B159" s="83">
        <v>154</v>
      </c>
      <c r="C159" s="252"/>
      <c r="D159" s="228" t="s">
        <v>1115</v>
      </c>
      <c r="E159" s="228" t="s">
        <v>1116</v>
      </c>
      <c r="F159" s="228" t="s">
        <v>6</v>
      </c>
      <c r="G159" s="228" t="s">
        <v>9</v>
      </c>
      <c r="H159" s="228" t="s">
        <v>113</v>
      </c>
      <c r="I159" s="228" t="s">
        <v>30</v>
      </c>
      <c r="J159" s="228" t="s">
        <v>112</v>
      </c>
      <c r="K159" s="229">
        <v>5</v>
      </c>
      <c r="L159" s="228" t="s">
        <v>112</v>
      </c>
      <c r="M159" s="229">
        <v>5</v>
      </c>
      <c r="N159" s="228" t="s">
        <v>112</v>
      </c>
      <c r="O159" s="229">
        <v>5</v>
      </c>
      <c r="P159" s="228" t="s">
        <v>112</v>
      </c>
      <c r="Q159" s="229">
        <v>5</v>
      </c>
      <c r="R159" s="229" t="s">
        <v>112</v>
      </c>
      <c r="S159" s="229">
        <v>5</v>
      </c>
      <c r="T159" s="229" t="s">
        <v>112</v>
      </c>
      <c r="U159" s="229">
        <v>5</v>
      </c>
      <c r="V159" s="229" t="s">
        <v>112</v>
      </c>
      <c r="W159" s="229">
        <v>5</v>
      </c>
      <c r="X159" s="229" t="s">
        <v>36</v>
      </c>
      <c r="Y159" s="229">
        <v>4</v>
      </c>
      <c r="Z159" s="229" t="s">
        <v>112</v>
      </c>
      <c r="AA159" s="229">
        <v>5</v>
      </c>
      <c r="AB159" s="233" t="s">
        <v>1117</v>
      </c>
      <c r="AC159" s="72"/>
      <c r="AD159" s="72"/>
      <c r="AE159" s="72"/>
      <c r="AF159" s="72"/>
      <c r="AG159" s="72"/>
      <c r="AH159" s="72"/>
      <c r="AI159" s="73"/>
      <c r="AJ159" s="72"/>
      <c r="AK159" s="72"/>
      <c r="AL159" s="72"/>
      <c r="AM159" s="72"/>
      <c r="AN159" s="74"/>
      <c r="AO159" s="74"/>
      <c r="AP159" s="74"/>
      <c r="AQ159" s="74"/>
      <c r="AR159" s="74"/>
      <c r="AS159" s="74"/>
      <c r="AT159" s="74"/>
      <c r="AU159" s="74"/>
      <c r="AV159" s="74"/>
      <c r="AW159" s="74"/>
      <c r="AX159" s="74"/>
      <c r="AY159" s="74"/>
      <c r="AZ159" s="74"/>
      <c r="BA159" s="74"/>
      <c r="BB159" s="74"/>
      <c r="BC159" s="74"/>
      <c r="BD159" s="74"/>
      <c r="BE159" s="74"/>
      <c r="BF159" s="74"/>
      <c r="BG159" s="74"/>
    </row>
    <row r="160" spans="2:59">
      <c r="B160" s="83">
        <v>155</v>
      </c>
      <c r="C160" s="252"/>
      <c r="D160" s="228" t="s">
        <v>1118</v>
      </c>
      <c r="E160" s="228" t="s">
        <v>1119</v>
      </c>
      <c r="F160" s="228" t="s">
        <v>6</v>
      </c>
      <c r="G160" s="228" t="s">
        <v>19</v>
      </c>
      <c r="H160" s="228" t="s">
        <v>113</v>
      </c>
      <c r="I160" s="228" t="s">
        <v>30</v>
      </c>
      <c r="J160" s="228" t="s">
        <v>112</v>
      </c>
      <c r="K160" s="229">
        <v>5</v>
      </c>
      <c r="L160" s="228" t="s">
        <v>112</v>
      </c>
      <c r="M160" s="229">
        <v>5</v>
      </c>
      <c r="N160" s="228" t="s">
        <v>112</v>
      </c>
      <c r="O160" s="229">
        <v>5</v>
      </c>
      <c r="P160" s="228" t="s">
        <v>112</v>
      </c>
      <c r="Q160" s="229">
        <v>5</v>
      </c>
      <c r="R160" s="229" t="s">
        <v>112</v>
      </c>
      <c r="S160" s="229">
        <v>5</v>
      </c>
      <c r="T160" s="229" t="s">
        <v>112</v>
      </c>
      <c r="U160" s="229">
        <v>5</v>
      </c>
      <c r="V160" s="229" t="s">
        <v>112</v>
      </c>
      <c r="W160" s="229">
        <v>5</v>
      </c>
      <c r="X160" s="229" t="s">
        <v>112</v>
      </c>
      <c r="Y160" s="229">
        <v>5</v>
      </c>
      <c r="Z160" s="229" t="s">
        <v>112</v>
      </c>
      <c r="AA160" s="229">
        <v>5</v>
      </c>
      <c r="AB160" s="233" t="s">
        <v>1120</v>
      </c>
      <c r="AC160" s="72"/>
      <c r="AD160" s="72"/>
      <c r="AE160" s="72"/>
      <c r="AF160" s="72"/>
      <c r="AG160" s="72"/>
      <c r="AH160" s="72"/>
      <c r="AI160" s="73"/>
      <c r="AJ160" s="72"/>
      <c r="AK160" s="72"/>
      <c r="AL160" s="72"/>
      <c r="AM160" s="72"/>
      <c r="AN160" s="74"/>
      <c r="AO160" s="74"/>
      <c r="AP160" s="74"/>
      <c r="AQ160" s="74"/>
      <c r="AR160" s="74"/>
      <c r="AS160" s="74"/>
      <c r="AT160" s="74"/>
      <c r="AU160" s="74"/>
      <c r="AV160" s="74"/>
      <c r="AW160" s="74"/>
      <c r="AX160" s="74"/>
      <c r="AY160" s="74"/>
      <c r="AZ160" s="74"/>
      <c r="BA160" s="74"/>
      <c r="BB160" s="74"/>
      <c r="BC160" s="74"/>
      <c r="BD160" s="74"/>
      <c r="BE160" s="74"/>
      <c r="BF160" s="74"/>
      <c r="BG160" s="74"/>
    </row>
    <row r="161" spans="2:59">
      <c r="B161" s="83">
        <v>156</v>
      </c>
      <c r="C161" s="252"/>
      <c r="D161" s="228" t="s">
        <v>1121</v>
      </c>
      <c r="E161" s="228" t="s">
        <v>1122</v>
      </c>
      <c r="F161" s="228" t="s">
        <v>6</v>
      </c>
      <c r="G161" s="228" t="s">
        <v>9</v>
      </c>
      <c r="H161" s="228" t="s">
        <v>113</v>
      </c>
      <c r="I161" s="228" t="s">
        <v>30</v>
      </c>
      <c r="J161" s="228" t="s">
        <v>112</v>
      </c>
      <c r="K161" s="229">
        <v>5</v>
      </c>
      <c r="L161" s="228" t="s">
        <v>112</v>
      </c>
      <c r="M161" s="229">
        <v>5</v>
      </c>
      <c r="N161" s="228" t="s">
        <v>112</v>
      </c>
      <c r="O161" s="229">
        <v>5</v>
      </c>
      <c r="P161" s="228" t="s">
        <v>36</v>
      </c>
      <c r="Q161" s="229">
        <v>4</v>
      </c>
      <c r="R161" s="229" t="s">
        <v>36</v>
      </c>
      <c r="S161" s="229">
        <v>4</v>
      </c>
      <c r="T161" s="229" t="s">
        <v>36</v>
      </c>
      <c r="U161" s="229">
        <v>4</v>
      </c>
      <c r="V161" s="229" t="s">
        <v>36</v>
      </c>
      <c r="W161" s="229">
        <v>4</v>
      </c>
      <c r="X161" s="229" t="s">
        <v>35</v>
      </c>
      <c r="Y161" s="229">
        <v>3</v>
      </c>
      <c r="Z161" s="229" t="s">
        <v>36</v>
      </c>
      <c r="AA161" s="229">
        <v>4</v>
      </c>
      <c r="AB161" s="233"/>
      <c r="AC161" s="72"/>
      <c r="AD161" s="72"/>
      <c r="AE161" s="72"/>
      <c r="AF161" s="72"/>
      <c r="AG161" s="72"/>
      <c r="AH161" s="72"/>
      <c r="AI161" s="73"/>
      <c r="AJ161" s="72"/>
      <c r="AK161" s="72"/>
      <c r="AL161" s="72"/>
      <c r="AM161" s="72"/>
      <c r="AN161" s="74"/>
      <c r="AO161" s="74"/>
      <c r="AP161" s="74"/>
      <c r="AQ161" s="74"/>
      <c r="AR161" s="74"/>
      <c r="AS161" s="74"/>
      <c r="AT161" s="74"/>
      <c r="AU161" s="74"/>
      <c r="AV161" s="74"/>
      <c r="AW161" s="74"/>
      <c r="AX161" s="74"/>
      <c r="AY161" s="74"/>
      <c r="AZ161" s="74"/>
      <c r="BA161" s="74"/>
      <c r="BB161" s="74"/>
      <c r="BC161" s="74"/>
      <c r="BD161" s="74"/>
      <c r="BE161" s="74"/>
      <c r="BF161" s="74"/>
      <c r="BG161" s="74"/>
    </row>
    <row r="162" spans="2:59">
      <c r="B162" s="83">
        <v>157</v>
      </c>
      <c r="C162" s="252" t="s">
        <v>1162</v>
      </c>
      <c r="D162" s="228" t="s">
        <v>1123</v>
      </c>
      <c r="E162" s="228" t="s">
        <v>1124</v>
      </c>
      <c r="F162" s="228" t="s">
        <v>6</v>
      </c>
      <c r="G162" s="228" t="s">
        <v>9</v>
      </c>
      <c r="H162" s="228" t="s">
        <v>113</v>
      </c>
      <c r="I162" s="228" t="s">
        <v>752</v>
      </c>
      <c r="J162" s="228" t="s">
        <v>112</v>
      </c>
      <c r="K162" s="229">
        <v>5</v>
      </c>
      <c r="L162" s="228" t="s">
        <v>112</v>
      </c>
      <c r="M162" s="229">
        <v>5</v>
      </c>
      <c r="N162" s="228" t="s">
        <v>112</v>
      </c>
      <c r="O162" s="229">
        <v>5</v>
      </c>
      <c r="P162" s="228" t="s">
        <v>35</v>
      </c>
      <c r="Q162" s="229">
        <v>3</v>
      </c>
      <c r="R162" s="229" t="s">
        <v>36</v>
      </c>
      <c r="S162" s="229">
        <v>4</v>
      </c>
      <c r="T162" s="229" t="s">
        <v>112</v>
      </c>
      <c r="U162" s="229">
        <v>5</v>
      </c>
      <c r="V162" s="229" t="s">
        <v>112</v>
      </c>
      <c r="W162" s="229">
        <v>5</v>
      </c>
      <c r="X162" s="229" t="s">
        <v>36</v>
      </c>
      <c r="Y162" s="229">
        <v>4</v>
      </c>
      <c r="Z162" s="229" t="s">
        <v>36</v>
      </c>
      <c r="AA162" s="229">
        <v>4</v>
      </c>
      <c r="AB162" s="233" t="s">
        <v>1125</v>
      </c>
      <c r="AC162" s="72"/>
      <c r="AD162" s="72"/>
      <c r="AE162" s="72"/>
      <c r="AF162" s="72"/>
      <c r="AG162" s="72"/>
      <c r="AH162" s="72"/>
      <c r="AI162" s="73"/>
      <c r="AJ162" s="72"/>
      <c r="AK162" s="72"/>
      <c r="AL162" s="72"/>
      <c r="AM162" s="72"/>
      <c r="AN162" s="74"/>
      <c r="AO162" s="74"/>
      <c r="AP162" s="74"/>
      <c r="AQ162" s="74"/>
      <c r="AR162" s="74"/>
      <c r="AS162" s="74"/>
      <c r="AT162" s="74"/>
      <c r="AU162" s="74"/>
      <c r="AV162" s="74"/>
      <c r="AW162" s="74"/>
      <c r="AX162" s="74"/>
      <c r="AY162" s="74"/>
      <c r="AZ162" s="74"/>
      <c r="BA162" s="74"/>
      <c r="BB162" s="74"/>
      <c r="BC162" s="74"/>
      <c r="BD162" s="74"/>
      <c r="BE162" s="74"/>
      <c r="BF162" s="74"/>
      <c r="BG162" s="74"/>
    </row>
    <row r="163" spans="2:59">
      <c r="B163" s="83">
        <v>158</v>
      </c>
      <c r="C163" s="252"/>
      <c r="D163" s="228" t="s">
        <v>1126</v>
      </c>
      <c r="E163" s="228" t="s">
        <v>1127</v>
      </c>
      <c r="F163" s="228" t="s">
        <v>6</v>
      </c>
      <c r="G163" s="228" t="s">
        <v>9</v>
      </c>
      <c r="H163" s="228" t="s">
        <v>25</v>
      </c>
      <c r="I163" s="228" t="s">
        <v>30</v>
      </c>
      <c r="J163" s="228" t="s">
        <v>112</v>
      </c>
      <c r="K163" s="229">
        <v>5</v>
      </c>
      <c r="L163" s="228" t="s">
        <v>112</v>
      </c>
      <c r="M163" s="229">
        <v>5</v>
      </c>
      <c r="N163" s="228" t="s">
        <v>112</v>
      </c>
      <c r="O163" s="229">
        <v>5</v>
      </c>
      <c r="P163" s="228" t="s">
        <v>112</v>
      </c>
      <c r="Q163" s="229">
        <v>5</v>
      </c>
      <c r="R163" s="229" t="s">
        <v>112</v>
      </c>
      <c r="S163" s="229">
        <v>5</v>
      </c>
      <c r="T163" s="229" t="s">
        <v>112</v>
      </c>
      <c r="U163" s="229">
        <v>5</v>
      </c>
      <c r="V163" s="229" t="s">
        <v>112</v>
      </c>
      <c r="W163" s="229">
        <v>5</v>
      </c>
      <c r="X163" s="229" t="s">
        <v>112</v>
      </c>
      <c r="Y163" s="229">
        <v>5</v>
      </c>
      <c r="Z163" s="229" t="s">
        <v>112</v>
      </c>
      <c r="AA163" s="229">
        <v>5</v>
      </c>
      <c r="AB163" s="233" t="s">
        <v>1128</v>
      </c>
      <c r="AC163" s="72"/>
      <c r="AD163" s="72"/>
      <c r="AE163" s="72"/>
      <c r="AF163" s="72"/>
      <c r="AG163" s="72"/>
      <c r="AH163" s="72"/>
      <c r="AI163" s="73"/>
      <c r="AJ163" s="72"/>
      <c r="AK163" s="72"/>
      <c r="AL163" s="72"/>
      <c r="AM163" s="72"/>
      <c r="AN163" s="74"/>
      <c r="AO163" s="74"/>
      <c r="AP163" s="74"/>
      <c r="AQ163" s="74"/>
      <c r="AR163" s="74"/>
      <c r="AS163" s="74"/>
      <c r="AT163" s="74"/>
      <c r="AU163" s="74"/>
      <c r="AV163" s="74"/>
      <c r="AW163" s="74"/>
      <c r="AX163" s="74"/>
      <c r="AY163" s="74"/>
      <c r="AZ163" s="74"/>
      <c r="BA163" s="74"/>
      <c r="BB163" s="74"/>
      <c r="BC163" s="74"/>
      <c r="BD163" s="74"/>
      <c r="BE163" s="74"/>
      <c r="BF163" s="74"/>
      <c r="BG163" s="74"/>
    </row>
    <row r="164" spans="2:59">
      <c r="B164" s="83">
        <v>159</v>
      </c>
      <c r="C164" s="252"/>
      <c r="D164" s="228" t="s">
        <v>1129</v>
      </c>
      <c r="E164" s="228" t="s">
        <v>1130</v>
      </c>
      <c r="F164" s="228" t="s">
        <v>6</v>
      </c>
      <c r="G164" s="228" t="s">
        <v>18</v>
      </c>
      <c r="H164" s="228" t="s">
        <v>113</v>
      </c>
      <c r="I164" s="228" t="s">
        <v>30</v>
      </c>
      <c r="J164" s="228" t="s">
        <v>112</v>
      </c>
      <c r="K164" s="229">
        <v>5</v>
      </c>
      <c r="L164" s="228" t="s">
        <v>112</v>
      </c>
      <c r="M164" s="229">
        <v>5</v>
      </c>
      <c r="N164" s="228" t="s">
        <v>112</v>
      </c>
      <c r="O164" s="229">
        <v>5</v>
      </c>
      <c r="P164" s="228" t="s">
        <v>36</v>
      </c>
      <c r="Q164" s="229">
        <v>4</v>
      </c>
      <c r="R164" s="229" t="s">
        <v>36</v>
      </c>
      <c r="S164" s="229">
        <v>4</v>
      </c>
      <c r="T164" s="229" t="s">
        <v>36</v>
      </c>
      <c r="U164" s="229">
        <v>4</v>
      </c>
      <c r="V164" s="229" t="s">
        <v>36</v>
      </c>
      <c r="W164" s="229">
        <v>4</v>
      </c>
      <c r="X164" s="229" t="s">
        <v>36</v>
      </c>
      <c r="Y164" s="229">
        <v>4</v>
      </c>
      <c r="Z164" s="229" t="s">
        <v>112</v>
      </c>
      <c r="AA164" s="229">
        <v>5</v>
      </c>
      <c r="AB164" s="233" t="s">
        <v>1131</v>
      </c>
      <c r="AC164" s="72"/>
      <c r="AD164" s="72"/>
      <c r="AE164" s="72"/>
      <c r="AF164" s="72"/>
      <c r="AG164" s="72"/>
      <c r="AH164" s="72"/>
      <c r="AI164" s="73"/>
      <c r="AJ164" s="72"/>
      <c r="AK164" s="72"/>
      <c r="AL164" s="72"/>
      <c r="AM164" s="72"/>
      <c r="AN164" s="74"/>
      <c r="AO164" s="74"/>
      <c r="AP164" s="74"/>
      <c r="AQ164" s="74"/>
      <c r="AR164" s="74"/>
      <c r="AS164" s="74"/>
      <c r="AT164" s="74"/>
      <c r="AU164" s="74"/>
      <c r="AV164" s="74"/>
      <c r="AW164" s="74"/>
      <c r="AX164" s="74"/>
      <c r="AY164" s="74"/>
      <c r="AZ164" s="74"/>
      <c r="BA164" s="74"/>
      <c r="BB164" s="74"/>
      <c r="BC164" s="74"/>
      <c r="BD164" s="74"/>
      <c r="BE164" s="74"/>
      <c r="BF164" s="74"/>
      <c r="BG164" s="74"/>
    </row>
    <row r="165" spans="2:59">
      <c r="B165" s="83">
        <v>160</v>
      </c>
      <c r="C165" s="252"/>
      <c r="D165" s="228" t="s">
        <v>1132</v>
      </c>
      <c r="E165" s="228" t="s">
        <v>1133</v>
      </c>
      <c r="F165" s="228" t="s">
        <v>6</v>
      </c>
      <c r="G165" s="228" t="s">
        <v>9</v>
      </c>
      <c r="H165" s="228" t="s">
        <v>26</v>
      </c>
      <c r="I165" s="228" t="s">
        <v>30</v>
      </c>
      <c r="J165" s="228" t="s">
        <v>112</v>
      </c>
      <c r="K165" s="229">
        <v>5</v>
      </c>
      <c r="L165" s="228" t="s">
        <v>112</v>
      </c>
      <c r="M165" s="229">
        <v>5</v>
      </c>
      <c r="N165" s="228" t="s">
        <v>112</v>
      </c>
      <c r="O165" s="229">
        <v>5</v>
      </c>
      <c r="P165" s="228" t="s">
        <v>36</v>
      </c>
      <c r="Q165" s="229">
        <v>4</v>
      </c>
      <c r="R165" s="229" t="s">
        <v>112</v>
      </c>
      <c r="S165" s="229">
        <v>5</v>
      </c>
      <c r="T165" s="229" t="s">
        <v>112</v>
      </c>
      <c r="U165" s="229">
        <v>5</v>
      </c>
      <c r="V165" s="229" t="s">
        <v>112</v>
      </c>
      <c r="W165" s="229">
        <v>5</v>
      </c>
      <c r="X165" s="229" t="s">
        <v>36</v>
      </c>
      <c r="Y165" s="229">
        <v>4</v>
      </c>
      <c r="Z165" s="229" t="s">
        <v>112</v>
      </c>
      <c r="AA165" s="229">
        <v>5</v>
      </c>
      <c r="AB165" s="233" t="s">
        <v>1134</v>
      </c>
      <c r="AC165" s="72"/>
      <c r="AD165" s="72"/>
      <c r="AE165" s="72"/>
      <c r="AF165" s="72"/>
      <c r="AG165" s="72"/>
      <c r="AH165" s="72"/>
      <c r="AI165" s="73"/>
      <c r="AJ165" s="72"/>
      <c r="AK165" s="72"/>
      <c r="AL165" s="72"/>
      <c r="AM165" s="72"/>
      <c r="AN165" s="74"/>
      <c r="AO165" s="74"/>
      <c r="AP165" s="74"/>
      <c r="AQ165" s="74"/>
      <c r="AR165" s="74"/>
      <c r="AS165" s="74"/>
      <c r="AT165" s="74"/>
      <c r="AU165" s="74"/>
      <c r="AV165" s="74"/>
      <c r="AW165" s="74"/>
      <c r="AX165" s="74"/>
      <c r="AY165" s="74"/>
      <c r="AZ165" s="74"/>
      <c r="BA165" s="74"/>
      <c r="BB165" s="74"/>
      <c r="BC165" s="74"/>
      <c r="BD165" s="74"/>
      <c r="BE165" s="74"/>
      <c r="BF165" s="74"/>
      <c r="BG165" s="74"/>
    </row>
    <row r="166" spans="2:59">
      <c r="B166" s="83">
        <v>161</v>
      </c>
      <c r="C166" s="252"/>
      <c r="D166" s="228" t="s">
        <v>1135</v>
      </c>
      <c r="E166" s="228" t="s">
        <v>1136</v>
      </c>
      <c r="F166" s="228" t="s">
        <v>6</v>
      </c>
      <c r="G166" s="228" t="s">
        <v>9</v>
      </c>
      <c r="H166" s="228" t="s">
        <v>26</v>
      </c>
      <c r="I166" s="228" t="s">
        <v>30</v>
      </c>
      <c r="J166" s="228" t="s">
        <v>112</v>
      </c>
      <c r="K166" s="229">
        <v>5</v>
      </c>
      <c r="L166" s="228" t="s">
        <v>36</v>
      </c>
      <c r="M166" s="229">
        <v>4</v>
      </c>
      <c r="N166" s="228" t="s">
        <v>112</v>
      </c>
      <c r="O166" s="229">
        <v>5</v>
      </c>
      <c r="P166" s="228" t="s">
        <v>35</v>
      </c>
      <c r="Q166" s="229">
        <v>3</v>
      </c>
      <c r="R166" s="229" t="s">
        <v>36</v>
      </c>
      <c r="S166" s="229">
        <v>4</v>
      </c>
      <c r="T166" s="229" t="s">
        <v>112</v>
      </c>
      <c r="U166" s="229">
        <v>5</v>
      </c>
      <c r="V166" s="229" t="s">
        <v>36</v>
      </c>
      <c r="W166" s="229">
        <v>4</v>
      </c>
      <c r="X166" s="229" t="s">
        <v>112</v>
      </c>
      <c r="Y166" s="229">
        <v>5</v>
      </c>
      <c r="Z166" s="229" t="s">
        <v>112</v>
      </c>
      <c r="AA166" s="229">
        <v>5</v>
      </c>
      <c r="AB166" s="233" t="s">
        <v>1137</v>
      </c>
      <c r="AC166" s="72"/>
      <c r="AD166" s="72"/>
      <c r="AE166" s="72"/>
      <c r="AF166" s="72"/>
      <c r="AG166" s="72"/>
      <c r="AH166" s="72"/>
      <c r="AI166" s="73"/>
      <c r="AJ166" s="72"/>
      <c r="AK166" s="72"/>
      <c r="AL166" s="72"/>
      <c r="AM166" s="72"/>
      <c r="AN166" s="74"/>
      <c r="AO166" s="74"/>
      <c r="AP166" s="74"/>
      <c r="AQ166" s="74"/>
      <c r="AR166" s="74"/>
      <c r="AS166" s="74"/>
      <c r="AT166" s="74"/>
      <c r="AU166" s="74"/>
      <c r="AV166" s="74"/>
      <c r="AW166" s="74"/>
      <c r="AX166" s="74"/>
      <c r="AY166" s="74"/>
      <c r="AZ166" s="74"/>
      <c r="BA166" s="74"/>
      <c r="BB166" s="74"/>
      <c r="BC166" s="74"/>
      <c r="BD166" s="74"/>
      <c r="BE166" s="74"/>
      <c r="BF166" s="74"/>
      <c r="BG166" s="74"/>
    </row>
    <row r="167" spans="2:59">
      <c r="B167" s="83">
        <v>162</v>
      </c>
      <c r="C167" s="252"/>
      <c r="D167" s="228" t="s">
        <v>1138</v>
      </c>
      <c r="E167" s="228" t="s">
        <v>1139</v>
      </c>
      <c r="F167" s="228" t="s">
        <v>6</v>
      </c>
      <c r="G167" s="228" t="s">
        <v>9</v>
      </c>
      <c r="H167" s="228" t="s">
        <v>113</v>
      </c>
      <c r="I167" s="228" t="s">
        <v>30</v>
      </c>
      <c r="J167" s="228" t="s">
        <v>112</v>
      </c>
      <c r="K167" s="229">
        <v>5</v>
      </c>
      <c r="L167" s="228" t="s">
        <v>112</v>
      </c>
      <c r="M167" s="229">
        <v>5</v>
      </c>
      <c r="N167" s="228" t="s">
        <v>112</v>
      </c>
      <c r="O167" s="229">
        <v>5</v>
      </c>
      <c r="P167" s="228" t="s">
        <v>112</v>
      </c>
      <c r="Q167" s="229">
        <v>5</v>
      </c>
      <c r="R167" s="229" t="s">
        <v>112</v>
      </c>
      <c r="S167" s="229">
        <v>5</v>
      </c>
      <c r="T167" s="229" t="s">
        <v>112</v>
      </c>
      <c r="U167" s="229">
        <v>5</v>
      </c>
      <c r="V167" s="229" t="s">
        <v>112</v>
      </c>
      <c r="W167" s="229">
        <v>5</v>
      </c>
      <c r="X167" s="229" t="s">
        <v>112</v>
      </c>
      <c r="Y167" s="229">
        <v>5</v>
      </c>
      <c r="Z167" s="229" t="s">
        <v>112</v>
      </c>
      <c r="AA167" s="229">
        <v>5</v>
      </c>
      <c r="AB167" s="233" t="s">
        <v>1140</v>
      </c>
      <c r="AC167" s="72"/>
      <c r="AD167" s="72"/>
      <c r="AE167" s="72"/>
      <c r="AF167" s="72"/>
      <c r="AG167" s="72"/>
      <c r="AH167" s="72"/>
      <c r="AI167" s="73"/>
      <c r="AJ167" s="72"/>
      <c r="AK167" s="72"/>
      <c r="AL167" s="72"/>
      <c r="AM167" s="72"/>
      <c r="AN167" s="74"/>
      <c r="AO167" s="74"/>
      <c r="AP167" s="74"/>
      <c r="AQ167" s="74"/>
      <c r="AR167" s="74"/>
      <c r="AS167" s="74"/>
      <c r="AT167" s="74"/>
      <c r="AU167" s="74"/>
      <c r="AV167" s="74"/>
      <c r="AW167" s="74"/>
      <c r="AX167" s="74"/>
      <c r="AY167" s="74"/>
      <c r="AZ167" s="74"/>
      <c r="BA167" s="74"/>
      <c r="BB167" s="74"/>
      <c r="BC167" s="74"/>
      <c r="BD167" s="74"/>
      <c r="BE167" s="74"/>
      <c r="BF167" s="74"/>
      <c r="BG167" s="74"/>
    </row>
    <row r="168" spans="2:59">
      <c r="B168" s="83">
        <v>163</v>
      </c>
      <c r="C168" s="252"/>
      <c r="D168" s="228" t="s">
        <v>1141</v>
      </c>
      <c r="E168" s="228" t="s">
        <v>1142</v>
      </c>
      <c r="F168" s="228" t="s">
        <v>6</v>
      </c>
      <c r="G168" s="228" t="s">
        <v>9</v>
      </c>
      <c r="H168" s="228" t="s">
        <v>113</v>
      </c>
      <c r="I168" s="228" t="s">
        <v>30</v>
      </c>
      <c r="J168" s="228" t="s">
        <v>112</v>
      </c>
      <c r="K168" s="229">
        <v>5</v>
      </c>
      <c r="L168" s="228" t="s">
        <v>112</v>
      </c>
      <c r="M168" s="229">
        <v>5</v>
      </c>
      <c r="N168" s="228" t="s">
        <v>112</v>
      </c>
      <c r="O168" s="229">
        <v>5</v>
      </c>
      <c r="P168" s="228" t="s">
        <v>112</v>
      </c>
      <c r="Q168" s="229">
        <v>5</v>
      </c>
      <c r="R168" s="229" t="s">
        <v>112</v>
      </c>
      <c r="S168" s="229">
        <v>5</v>
      </c>
      <c r="T168" s="229" t="s">
        <v>112</v>
      </c>
      <c r="U168" s="229">
        <v>5</v>
      </c>
      <c r="V168" s="229" t="s">
        <v>112</v>
      </c>
      <c r="W168" s="229">
        <v>5</v>
      </c>
      <c r="X168" s="229" t="s">
        <v>112</v>
      </c>
      <c r="Y168" s="229">
        <v>5</v>
      </c>
      <c r="Z168" s="229" t="s">
        <v>112</v>
      </c>
      <c r="AA168" s="229">
        <v>5</v>
      </c>
      <c r="AB168" s="233" t="s">
        <v>1143</v>
      </c>
      <c r="AC168" s="72"/>
      <c r="AD168" s="72"/>
      <c r="AE168" s="72"/>
      <c r="AF168" s="72"/>
      <c r="AG168" s="72"/>
      <c r="AH168" s="72"/>
      <c r="AI168" s="73"/>
      <c r="AJ168" s="72"/>
      <c r="AK168" s="72"/>
      <c r="AL168" s="72"/>
      <c r="AM168" s="72"/>
      <c r="AN168" s="74"/>
      <c r="AO168" s="74"/>
      <c r="AP168" s="74"/>
      <c r="AQ168" s="74"/>
      <c r="AR168" s="74"/>
      <c r="AS168" s="74"/>
      <c r="AT168" s="74"/>
      <c r="AU168" s="74"/>
      <c r="AV168" s="74"/>
      <c r="AW168" s="74"/>
      <c r="AX168" s="74"/>
      <c r="AY168" s="74"/>
      <c r="AZ168" s="74"/>
      <c r="BA168" s="74"/>
      <c r="BB168" s="74"/>
      <c r="BC168" s="74"/>
      <c r="BD168" s="74"/>
      <c r="BE168" s="74"/>
      <c r="BF168" s="74"/>
      <c r="BG168" s="74"/>
    </row>
    <row r="169" spans="2:59">
      <c r="B169" s="83">
        <v>164</v>
      </c>
      <c r="C169" s="252"/>
      <c r="D169" s="228" t="s">
        <v>1144</v>
      </c>
      <c r="E169" s="228" t="s">
        <v>1145</v>
      </c>
      <c r="F169" s="228" t="s">
        <v>6</v>
      </c>
      <c r="G169" s="228" t="s">
        <v>9</v>
      </c>
      <c r="H169" s="228" t="s">
        <v>113</v>
      </c>
      <c r="I169" s="228" t="s">
        <v>30</v>
      </c>
      <c r="J169" s="228" t="s">
        <v>112</v>
      </c>
      <c r="K169" s="229">
        <v>5</v>
      </c>
      <c r="L169" s="228" t="s">
        <v>112</v>
      </c>
      <c r="M169" s="229">
        <v>5</v>
      </c>
      <c r="N169" s="228" t="s">
        <v>112</v>
      </c>
      <c r="O169" s="229">
        <v>5</v>
      </c>
      <c r="P169" s="228" t="s">
        <v>36</v>
      </c>
      <c r="Q169" s="229">
        <v>4</v>
      </c>
      <c r="R169" s="229" t="s">
        <v>112</v>
      </c>
      <c r="S169" s="229">
        <v>5</v>
      </c>
      <c r="T169" s="229" t="s">
        <v>112</v>
      </c>
      <c r="U169" s="229">
        <v>5</v>
      </c>
      <c r="V169" s="229" t="s">
        <v>112</v>
      </c>
      <c r="W169" s="229">
        <v>5</v>
      </c>
      <c r="X169" s="229" t="s">
        <v>112</v>
      </c>
      <c r="Y169" s="229">
        <v>5</v>
      </c>
      <c r="Z169" s="229" t="s">
        <v>112</v>
      </c>
      <c r="AA169" s="229">
        <v>5</v>
      </c>
      <c r="AB169" s="233" t="s">
        <v>1146</v>
      </c>
      <c r="AC169" s="72"/>
      <c r="AD169" s="72"/>
      <c r="AE169" s="72"/>
      <c r="AF169" s="72"/>
      <c r="AG169" s="72"/>
      <c r="AH169" s="72"/>
      <c r="AI169" s="73"/>
      <c r="AJ169" s="72"/>
      <c r="AK169" s="72"/>
      <c r="AL169" s="72"/>
      <c r="AM169" s="72"/>
      <c r="AN169" s="74"/>
      <c r="AO169" s="74"/>
      <c r="AP169" s="74"/>
      <c r="AQ169" s="74"/>
      <c r="AR169" s="74"/>
      <c r="AS169" s="74"/>
      <c r="AT169" s="74"/>
      <c r="AU169" s="74"/>
      <c r="AV169" s="74"/>
      <c r="AW169" s="74"/>
      <c r="AX169" s="74"/>
      <c r="AY169" s="74"/>
      <c r="AZ169" s="74"/>
      <c r="BA169" s="74"/>
      <c r="BB169" s="74"/>
      <c r="BC169" s="74"/>
      <c r="BD169" s="74"/>
      <c r="BE169" s="74"/>
      <c r="BF169" s="74"/>
      <c r="BG169" s="74"/>
    </row>
    <row r="170" spans="2:59">
      <c r="B170" s="83">
        <v>165</v>
      </c>
      <c r="C170" s="252"/>
      <c r="D170" s="228" t="s">
        <v>1147</v>
      </c>
      <c r="E170" s="228" t="s">
        <v>1148</v>
      </c>
      <c r="F170" s="228" t="s">
        <v>6</v>
      </c>
      <c r="G170" s="228" t="s">
        <v>9</v>
      </c>
      <c r="H170" s="228" t="s">
        <v>113</v>
      </c>
      <c r="I170" s="228" t="s">
        <v>30</v>
      </c>
      <c r="J170" s="228" t="s">
        <v>112</v>
      </c>
      <c r="K170" s="229">
        <v>5</v>
      </c>
      <c r="L170" s="228" t="s">
        <v>112</v>
      </c>
      <c r="M170" s="229">
        <v>5</v>
      </c>
      <c r="N170" s="228" t="s">
        <v>112</v>
      </c>
      <c r="O170" s="229">
        <v>5</v>
      </c>
      <c r="P170" s="228" t="s">
        <v>36</v>
      </c>
      <c r="Q170" s="229">
        <v>4</v>
      </c>
      <c r="R170" s="229" t="s">
        <v>112</v>
      </c>
      <c r="S170" s="229">
        <v>5</v>
      </c>
      <c r="T170" s="229" t="s">
        <v>112</v>
      </c>
      <c r="U170" s="229">
        <v>5</v>
      </c>
      <c r="V170" s="229" t="s">
        <v>36</v>
      </c>
      <c r="W170" s="229">
        <v>4</v>
      </c>
      <c r="X170" s="229" t="s">
        <v>112</v>
      </c>
      <c r="Y170" s="229">
        <v>5</v>
      </c>
      <c r="Z170" s="229" t="s">
        <v>112</v>
      </c>
      <c r="AA170" s="229">
        <v>5</v>
      </c>
      <c r="AB170" s="233"/>
      <c r="AC170" s="72"/>
      <c r="AD170" s="72"/>
      <c r="AE170" s="72"/>
      <c r="AF170" s="72"/>
      <c r="AG170" s="72"/>
      <c r="AH170" s="72"/>
      <c r="AI170" s="73"/>
      <c r="AJ170" s="72"/>
      <c r="AK170" s="72"/>
      <c r="AL170" s="72"/>
      <c r="AM170" s="72"/>
      <c r="AN170" s="74"/>
      <c r="AO170" s="74"/>
      <c r="AP170" s="74"/>
      <c r="AQ170" s="74"/>
      <c r="AR170" s="74"/>
      <c r="AS170" s="74"/>
      <c r="AT170" s="74"/>
      <c r="AU170" s="74"/>
      <c r="AV170" s="74"/>
      <c r="AW170" s="74"/>
      <c r="AX170" s="74"/>
      <c r="AY170" s="74"/>
      <c r="AZ170" s="74"/>
      <c r="BA170" s="74"/>
      <c r="BB170" s="74"/>
      <c r="BC170" s="74"/>
      <c r="BD170" s="74"/>
      <c r="BE170" s="74"/>
      <c r="BF170" s="74"/>
      <c r="BG170" s="74"/>
    </row>
    <row r="171" spans="2:59">
      <c r="B171" s="83">
        <v>166</v>
      </c>
      <c r="C171" s="252"/>
      <c r="D171" s="228" t="s">
        <v>1149</v>
      </c>
      <c r="E171" s="228" t="s">
        <v>1150</v>
      </c>
      <c r="F171" s="228" t="s">
        <v>6</v>
      </c>
      <c r="G171" s="228" t="s">
        <v>9</v>
      </c>
      <c r="H171" s="228" t="s">
        <v>26</v>
      </c>
      <c r="I171" s="228" t="s">
        <v>30</v>
      </c>
      <c r="J171" s="228" t="s">
        <v>112</v>
      </c>
      <c r="K171" s="229">
        <v>5</v>
      </c>
      <c r="L171" s="228" t="s">
        <v>112</v>
      </c>
      <c r="M171" s="229">
        <v>5</v>
      </c>
      <c r="N171" s="228" t="s">
        <v>112</v>
      </c>
      <c r="O171" s="229">
        <v>5</v>
      </c>
      <c r="P171" s="228" t="s">
        <v>36</v>
      </c>
      <c r="Q171" s="229">
        <v>4</v>
      </c>
      <c r="R171" s="229" t="s">
        <v>112</v>
      </c>
      <c r="S171" s="229">
        <v>5</v>
      </c>
      <c r="T171" s="229" t="s">
        <v>112</v>
      </c>
      <c r="U171" s="229">
        <v>5</v>
      </c>
      <c r="V171" s="229" t="s">
        <v>112</v>
      </c>
      <c r="W171" s="229">
        <v>5</v>
      </c>
      <c r="X171" s="229" t="s">
        <v>112</v>
      </c>
      <c r="Y171" s="229">
        <v>5</v>
      </c>
      <c r="Z171" s="229" t="s">
        <v>112</v>
      </c>
      <c r="AA171" s="229">
        <v>5</v>
      </c>
      <c r="AB171" s="233" t="s">
        <v>1151</v>
      </c>
      <c r="AC171" s="72"/>
      <c r="AD171" s="72"/>
      <c r="AE171" s="72"/>
      <c r="AF171" s="72"/>
      <c r="AG171" s="72"/>
      <c r="AH171" s="72"/>
      <c r="AI171" s="73"/>
      <c r="AJ171" s="72"/>
      <c r="AK171" s="72"/>
      <c r="AL171" s="72"/>
      <c r="AM171" s="72"/>
      <c r="AN171" s="74"/>
      <c r="AO171" s="74"/>
      <c r="AP171" s="74"/>
      <c r="AQ171" s="74"/>
      <c r="AR171" s="74"/>
      <c r="AS171" s="74"/>
      <c r="AT171" s="74"/>
      <c r="AU171" s="74"/>
      <c r="AV171" s="74"/>
      <c r="AW171" s="74"/>
      <c r="AX171" s="74"/>
      <c r="AY171" s="74"/>
      <c r="AZ171" s="74"/>
      <c r="BA171" s="74"/>
      <c r="BB171" s="74"/>
      <c r="BC171" s="74"/>
      <c r="BD171" s="74"/>
      <c r="BE171" s="74"/>
      <c r="BF171" s="74"/>
      <c r="BG171" s="74"/>
    </row>
    <row r="172" spans="2:59">
      <c r="B172" s="83">
        <v>167</v>
      </c>
      <c r="C172" s="252"/>
      <c r="D172" s="228" t="s">
        <v>1152</v>
      </c>
      <c r="E172" s="228" t="s">
        <v>1153</v>
      </c>
      <c r="F172" s="228" t="s">
        <v>6</v>
      </c>
      <c r="G172" s="228" t="s">
        <v>9</v>
      </c>
      <c r="H172" s="228" t="s">
        <v>113</v>
      </c>
      <c r="I172" s="228" t="s">
        <v>30</v>
      </c>
      <c r="J172" s="228" t="s">
        <v>112</v>
      </c>
      <c r="K172" s="229">
        <v>5</v>
      </c>
      <c r="L172" s="228" t="s">
        <v>112</v>
      </c>
      <c r="M172" s="229">
        <v>5</v>
      </c>
      <c r="N172" s="228" t="s">
        <v>112</v>
      </c>
      <c r="O172" s="229">
        <v>5</v>
      </c>
      <c r="P172" s="228" t="s">
        <v>112</v>
      </c>
      <c r="Q172" s="229">
        <v>5</v>
      </c>
      <c r="R172" s="229" t="s">
        <v>112</v>
      </c>
      <c r="S172" s="229">
        <v>5</v>
      </c>
      <c r="T172" s="229" t="s">
        <v>112</v>
      </c>
      <c r="U172" s="229">
        <v>5</v>
      </c>
      <c r="V172" s="229" t="s">
        <v>112</v>
      </c>
      <c r="W172" s="229">
        <v>5</v>
      </c>
      <c r="X172" s="229" t="s">
        <v>112</v>
      </c>
      <c r="Y172" s="229">
        <v>5</v>
      </c>
      <c r="Z172" s="229" t="s">
        <v>112</v>
      </c>
      <c r="AA172" s="229">
        <v>5</v>
      </c>
      <c r="AB172" s="233" t="s">
        <v>1154</v>
      </c>
      <c r="AC172" s="72"/>
      <c r="AD172" s="72"/>
      <c r="AE172" s="72"/>
      <c r="AF172" s="72"/>
      <c r="AG172" s="72"/>
      <c r="AH172" s="72"/>
      <c r="AI172" s="73"/>
      <c r="AJ172" s="72"/>
      <c r="AK172" s="72"/>
      <c r="AL172" s="72"/>
      <c r="AM172" s="72"/>
      <c r="AN172" s="74"/>
      <c r="AO172" s="74"/>
      <c r="AP172" s="74"/>
      <c r="AQ172" s="74"/>
      <c r="AR172" s="74"/>
      <c r="AS172" s="74"/>
      <c r="AT172" s="74"/>
      <c r="AU172" s="74"/>
      <c r="AV172" s="74"/>
      <c r="AW172" s="74"/>
      <c r="AX172" s="74"/>
      <c r="AY172" s="74"/>
      <c r="AZ172" s="74"/>
      <c r="BA172" s="74"/>
      <c r="BB172" s="74"/>
      <c r="BC172" s="74"/>
      <c r="BD172" s="74"/>
      <c r="BE172" s="74"/>
      <c r="BF172" s="74"/>
      <c r="BG172" s="74"/>
    </row>
    <row r="173" spans="2:59">
      <c r="B173" s="83">
        <v>168</v>
      </c>
      <c r="C173" s="252"/>
      <c r="D173" s="228" t="s">
        <v>1155</v>
      </c>
      <c r="E173" s="228" t="s">
        <v>1156</v>
      </c>
      <c r="F173" s="228" t="s">
        <v>6</v>
      </c>
      <c r="G173" s="228" t="s">
        <v>9</v>
      </c>
      <c r="H173" s="228" t="s">
        <v>26</v>
      </c>
      <c r="I173" s="228" t="s">
        <v>30</v>
      </c>
      <c r="J173" s="228" t="s">
        <v>112</v>
      </c>
      <c r="K173" s="229">
        <v>5</v>
      </c>
      <c r="L173" s="228" t="s">
        <v>112</v>
      </c>
      <c r="M173" s="229">
        <v>5</v>
      </c>
      <c r="N173" s="228" t="s">
        <v>112</v>
      </c>
      <c r="O173" s="229">
        <v>5</v>
      </c>
      <c r="P173" s="228" t="s">
        <v>112</v>
      </c>
      <c r="Q173" s="229">
        <v>5</v>
      </c>
      <c r="R173" s="229" t="s">
        <v>112</v>
      </c>
      <c r="S173" s="229">
        <v>5</v>
      </c>
      <c r="T173" s="229" t="s">
        <v>112</v>
      </c>
      <c r="U173" s="229">
        <v>5</v>
      </c>
      <c r="V173" s="229" t="s">
        <v>112</v>
      </c>
      <c r="W173" s="229">
        <v>5</v>
      </c>
      <c r="X173" s="229" t="s">
        <v>112</v>
      </c>
      <c r="Y173" s="229">
        <v>5</v>
      </c>
      <c r="Z173" s="229" t="s">
        <v>112</v>
      </c>
      <c r="AA173" s="229">
        <v>5</v>
      </c>
      <c r="AB173" s="233"/>
    </row>
    <row r="174" spans="2:59">
      <c r="B174" s="83">
        <v>169</v>
      </c>
      <c r="C174" s="252"/>
      <c r="D174" s="228" t="s">
        <v>1157</v>
      </c>
      <c r="E174" s="228" t="s">
        <v>1158</v>
      </c>
      <c r="F174" s="228" t="s">
        <v>6</v>
      </c>
      <c r="G174" s="228" t="s">
        <v>9</v>
      </c>
      <c r="H174" s="228" t="s">
        <v>26</v>
      </c>
      <c r="I174" s="228" t="s">
        <v>30</v>
      </c>
      <c r="J174" s="228" t="s">
        <v>112</v>
      </c>
      <c r="K174" s="229">
        <v>5</v>
      </c>
      <c r="L174" s="228" t="s">
        <v>36</v>
      </c>
      <c r="M174" s="229">
        <v>4</v>
      </c>
      <c r="N174" s="228" t="s">
        <v>36</v>
      </c>
      <c r="O174" s="229">
        <v>4</v>
      </c>
      <c r="P174" s="228" t="s">
        <v>114</v>
      </c>
      <c r="Q174" s="229">
        <v>2</v>
      </c>
      <c r="R174" s="229" t="s">
        <v>36</v>
      </c>
      <c r="S174" s="229">
        <v>4</v>
      </c>
      <c r="T174" s="229" t="s">
        <v>36</v>
      </c>
      <c r="U174" s="229">
        <v>4</v>
      </c>
      <c r="V174" s="229" t="s">
        <v>114</v>
      </c>
      <c r="W174" s="229">
        <v>2</v>
      </c>
      <c r="X174" s="229" t="s">
        <v>36</v>
      </c>
      <c r="Y174" s="229">
        <v>4</v>
      </c>
      <c r="Z174" s="229" t="s">
        <v>36</v>
      </c>
      <c r="AA174" s="229">
        <v>4</v>
      </c>
      <c r="AB174" s="233"/>
    </row>
    <row r="175" spans="2:59">
      <c r="B175" s="83">
        <v>170</v>
      </c>
      <c r="C175" s="252"/>
      <c r="D175" s="228" t="s">
        <v>1159</v>
      </c>
      <c r="E175" s="228" t="s">
        <v>1160</v>
      </c>
      <c r="F175" s="228" t="s">
        <v>6</v>
      </c>
      <c r="G175" s="228" t="s">
        <v>9</v>
      </c>
      <c r="H175" s="228" t="s">
        <v>113</v>
      </c>
      <c r="I175" s="228" t="s">
        <v>30</v>
      </c>
      <c r="J175" s="228" t="s">
        <v>112</v>
      </c>
      <c r="K175" s="229">
        <v>5</v>
      </c>
      <c r="L175" s="228" t="s">
        <v>112</v>
      </c>
      <c r="M175" s="229">
        <v>5</v>
      </c>
      <c r="N175" s="228" t="s">
        <v>112</v>
      </c>
      <c r="O175" s="229">
        <v>5</v>
      </c>
      <c r="P175" s="228" t="s">
        <v>112</v>
      </c>
      <c r="Q175" s="229">
        <v>5</v>
      </c>
      <c r="R175" s="229" t="s">
        <v>112</v>
      </c>
      <c r="S175" s="229">
        <v>5</v>
      </c>
      <c r="T175" s="229" t="s">
        <v>112</v>
      </c>
      <c r="U175" s="229">
        <v>5</v>
      </c>
      <c r="V175" s="229" t="s">
        <v>112</v>
      </c>
      <c r="W175" s="229">
        <v>5</v>
      </c>
      <c r="X175" s="229" t="s">
        <v>112</v>
      </c>
      <c r="Y175" s="229">
        <v>5</v>
      </c>
      <c r="Z175" s="229" t="s">
        <v>112</v>
      </c>
      <c r="AA175" s="229">
        <v>5</v>
      </c>
      <c r="AB175" s="233" t="s">
        <v>1161</v>
      </c>
    </row>
    <row r="176" spans="2:59">
      <c r="B176" s="83">
        <v>171</v>
      </c>
      <c r="C176" s="263" t="s">
        <v>142</v>
      </c>
      <c r="D176" s="228" t="s">
        <v>1163</v>
      </c>
      <c r="E176" s="228" t="s">
        <v>1164</v>
      </c>
      <c r="F176" s="228" t="s">
        <v>6</v>
      </c>
      <c r="G176" s="228" t="s">
        <v>9</v>
      </c>
      <c r="H176" s="228" t="s">
        <v>113</v>
      </c>
      <c r="I176" s="228" t="s">
        <v>30</v>
      </c>
      <c r="J176" s="228" t="s">
        <v>112</v>
      </c>
      <c r="K176" s="229">
        <v>5</v>
      </c>
      <c r="L176" s="228" t="s">
        <v>112</v>
      </c>
      <c r="M176" s="229">
        <v>5</v>
      </c>
      <c r="N176" s="228" t="s">
        <v>112</v>
      </c>
      <c r="O176" s="229">
        <v>5</v>
      </c>
      <c r="P176" s="228" t="s">
        <v>112</v>
      </c>
      <c r="Q176" s="229">
        <v>5</v>
      </c>
      <c r="R176" s="229" t="s">
        <v>112</v>
      </c>
      <c r="S176" s="229">
        <v>5</v>
      </c>
      <c r="T176" s="229" t="s">
        <v>112</v>
      </c>
      <c r="U176" s="229">
        <v>5</v>
      </c>
      <c r="V176" s="229" t="s">
        <v>112</v>
      </c>
      <c r="W176" s="229">
        <v>5</v>
      </c>
      <c r="X176" s="229" t="s">
        <v>112</v>
      </c>
      <c r="Y176" s="229">
        <v>5</v>
      </c>
      <c r="Z176" s="229" t="s">
        <v>112</v>
      </c>
      <c r="AA176" s="229">
        <v>5</v>
      </c>
      <c r="AB176" s="233" t="s">
        <v>1165</v>
      </c>
    </row>
    <row r="177" spans="2:28">
      <c r="B177" s="83">
        <v>172</v>
      </c>
      <c r="C177" s="263"/>
      <c r="D177" s="228" t="s">
        <v>1166</v>
      </c>
      <c r="E177" s="228" t="s">
        <v>1167</v>
      </c>
      <c r="F177" s="228" t="s">
        <v>6</v>
      </c>
      <c r="G177" s="228" t="s">
        <v>18</v>
      </c>
      <c r="H177" s="228" t="s">
        <v>26</v>
      </c>
      <c r="I177" s="228" t="s">
        <v>30</v>
      </c>
      <c r="J177" s="228" t="s">
        <v>112</v>
      </c>
      <c r="K177" s="229">
        <v>5</v>
      </c>
      <c r="L177" s="228" t="s">
        <v>112</v>
      </c>
      <c r="M177" s="229">
        <v>5</v>
      </c>
      <c r="N177" s="228" t="s">
        <v>112</v>
      </c>
      <c r="O177" s="229">
        <v>5</v>
      </c>
      <c r="P177" s="228" t="s">
        <v>112</v>
      </c>
      <c r="Q177" s="229">
        <v>5</v>
      </c>
      <c r="R177" s="229" t="s">
        <v>112</v>
      </c>
      <c r="S177" s="229">
        <v>5</v>
      </c>
      <c r="T177" s="229" t="s">
        <v>112</v>
      </c>
      <c r="U177" s="229">
        <v>5</v>
      </c>
      <c r="V177" s="229" t="s">
        <v>112</v>
      </c>
      <c r="W177" s="229">
        <v>5</v>
      </c>
      <c r="X177" s="229" t="s">
        <v>112</v>
      </c>
      <c r="Y177" s="229">
        <v>5</v>
      </c>
      <c r="Z177" s="229" t="s">
        <v>112</v>
      </c>
      <c r="AA177" s="229">
        <v>5</v>
      </c>
      <c r="AB177" s="233" t="s">
        <v>1168</v>
      </c>
    </row>
    <row r="178" spans="2:28">
      <c r="B178" s="83">
        <v>173</v>
      </c>
      <c r="C178" s="263"/>
      <c r="D178" s="228" t="s">
        <v>1169</v>
      </c>
      <c r="E178" s="228" t="s">
        <v>1170</v>
      </c>
      <c r="F178" s="228" t="s">
        <v>6</v>
      </c>
      <c r="G178" s="228" t="s">
        <v>9</v>
      </c>
      <c r="H178" s="228" t="s">
        <v>26</v>
      </c>
      <c r="I178" s="228" t="s">
        <v>30</v>
      </c>
      <c r="J178" s="228" t="s">
        <v>112</v>
      </c>
      <c r="K178" s="229">
        <v>5</v>
      </c>
      <c r="L178" s="228" t="s">
        <v>112</v>
      </c>
      <c r="M178" s="229">
        <v>5</v>
      </c>
      <c r="N178" s="228" t="s">
        <v>112</v>
      </c>
      <c r="O178" s="229">
        <v>5</v>
      </c>
      <c r="P178" s="228" t="s">
        <v>112</v>
      </c>
      <c r="Q178" s="229">
        <v>5</v>
      </c>
      <c r="R178" s="229" t="s">
        <v>112</v>
      </c>
      <c r="S178" s="229">
        <v>5</v>
      </c>
      <c r="T178" s="229" t="s">
        <v>112</v>
      </c>
      <c r="U178" s="229">
        <v>5</v>
      </c>
      <c r="V178" s="229" t="s">
        <v>112</v>
      </c>
      <c r="W178" s="229">
        <v>5</v>
      </c>
      <c r="X178" s="229" t="s">
        <v>112</v>
      </c>
      <c r="Y178" s="229">
        <v>5</v>
      </c>
      <c r="Z178" s="229" t="s">
        <v>112</v>
      </c>
      <c r="AA178" s="229">
        <v>5</v>
      </c>
      <c r="AB178" s="233" t="s">
        <v>1171</v>
      </c>
    </row>
    <row r="179" spans="2:28">
      <c r="B179" s="83">
        <v>174</v>
      </c>
      <c r="C179" s="263"/>
      <c r="D179" s="228" t="s">
        <v>1172</v>
      </c>
      <c r="E179" s="228" t="s">
        <v>1173</v>
      </c>
      <c r="F179" s="228" t="s">
        <v>6</v>
      </c>
      <c r="G179" s="228" t="s">
        <v>9</v>
      </c>
      <c r="H179" s="228" t="s">
        <v>113</v>
      </c>
      <c r="I179" s="228" t="s">
        <v>30</v>
      </c>
      <c r="J179" s="228" t="s">
        <v>112</v>
      </c>
      <c r="K179" s="229">
        <v>5</v>
      </c>
      <c r="L179" s="228" t="s">
        <v>112</v>
      </c>
      <c r="M179" s="229">
        <v>5</v>
      </c>
      <c r="N179" s="228" t="s">
        <v>112</v>
      </c>
      <c r="O179" s="229">
        <v>5</v>
      </c>
      <c r="P179" s="228" t="s">
        <v>112</v>
      </c>
      <c r="Q179" s="229">
        <v>5</v>
      </c>
      <c r="R179" s="229" t="s">
        <v>112</v>
      </c>
      <c r="S179" s="229">
        <v>5</v>
      </c>
      <c r="T179" s="229" t="s">
        <v>112</v>
      </c>
      <c r="U179" s="229">
        <v>5</v>
      </c>
      <c r="V179" s="229" t="s">
        <v>112</v>
      </c>
      <c r="W179" s="229">
        <v>5</v>
      </c>
      <c r="X179" s="229" t="s">
        <v>112</v>
      </c>
      <c r="Y179" s="229">
        <v>5</v>
      </c>
      <c r="Z179" s="229" t="s">
        <v>112</v>
      </c>
      <c r="AA179" s="229">
        <v>5</v>
      </c>
      <c r="AB179" s="233" t="s">
        <v>1174</v>
      </c>
    </row>
    <row r="180" spans="2:28">
      <c r="B180" s="83">
        <v>175</v>
      </c>
      <c r="C180" s="263"/>
      <c r="D180" s="228" t="s">
        <v>1175</v>
      </c>
      <c r="E180" s="228" t="s">
        <v>1176</v>
      </c>
      <c r="F180" s="228" t="s">
        <v>6</v>
      </c>
      <c r="G180" s="228" t="s">
        <v>9</v>
      </c>
      <c r="H180" s="228" t="s">
        <v>113</v>
      </c>
      <c r="I180" s="228" t="s">
        <v>30</v>
      </c>
      <c r="J180" s="228" t="s">
        <v>112</v>
      </c>
      <c r="K180" s="229">
        <v>5</v>
      </c>
      <c r="L180" s="228" t="s">
        <v>112</v>
      </c>
      <c r="M180" s="229">
        <v>5</v>
      </c>
      <c r="N180" s="228" t="s">
        <v>112</v>
      </c>
      <c r="O180" s="229">
        <v>5</v>
      </c>
      <c r="P180" s="228" t="s">
        <v>112</v>
      </c>
      <c r="Q180" s="229">
        <v>5</v>
      </c>
      <c r="R180" s="229" t="s">
        <v>112</v>
      </c>
      <c r="S180" s="229">
        <v>5</v>
      </c>
      <c r="T180" s="229" t="s">
        <v>112</v>
      </c>
      <c r="U180" s="229">
        <v>5</v>
      </c>
      <c r="V180" s="229" t="s">
        <v>112</v>
      </c>
      <c r="W180" s="229">
        <v>5</v>
      </c>
      <c r="X180" s="229" t="s">
        <v>112</v>
      </c>
      <c r="Y180" s="229">
        <v>5</v>
      </c>
      <c r="Z180" s="229" t="s">
        <v>112</v>
      </c>
      <c r="AA180" s="229">
        <v>5</v>
      </c>
      <c r="AB180" s="233" t="s">
        <v>1174</v>
      </c>
    </row>
    <row r="181" spans="2:28">
      <c r="B181" s="83">
        <v>176</v>
      </c>
      <c r="C181" s="263"/>
      <c r="D181" s="228" t="s">
        <v>1177</v>
      </c>
      <c r="E181" s="228" t="s">
        <v>1178</v>
      </c>
      <c r="F181" s="228" t="s">
        <v>6</v>
      </c>
      <c r="G181" s="228" t="s">
        <v>9</v>
      </c>
      <c r="H181" s="228" t="s">
        <v>113</v>
      </c>
      <c r="I181" s="228" t="s">
        <v>30</v>
      </c>
      <c r="J181" s="228" t="s">
        <v>112</v>
      </c>
      <c r="K181" s="229">
        <v>5</v>
      </c>
      <c r="L181" s="228" t="s">
        <v>112</v>
      </c>
      <c r="M181" s="229">
        <v>5</v>
      </c>
      <c r="N181" s="228" t="s">
        <v>112</v>
      </c>
      <c r="O181" s="229">
        <v>5</v>
      </c>
      <c r="P181" s="228" t="s">
        <v>112</v>
      </c>
      <c r="Q181" s="229">
        <v>5</v>
      </c>
      <c r="R181" s="229" t="s">
        <v>112</v>
      </c>
      <c r="S181" s="229">
        <v>5</v>
      </c>
      <c r="T181" s="229" t="s">
        <v>112</v>
      </c>
      <c r="U181" s="229">
        <v>5</v>
      </c>
      <c r="V181" s="229" t="s">
        <v>112</v>
      </c>
      <c r="W181" s="229">
        <v>5</v>
      </c>
      <c r="X181" s="229" t="s">
        <v>112</v>
      </c>
      <c r="Y181" s="229">
        <v>5</v>
      </c>
      <c r="Z181" s="229" t="s">
        <v>112</v>
      </c>
      <c r="AA181" s="229">
        <v>5</v>
      </c>
      <c r="AB181" s="233" t="s">
        <v>1179</v>
      </c>
    </row>
    <row r="182" spans="2:28">
      <c r="B182" s="83">
        <v>177</v>
      </c>
      <c r="C182" s="263"/>
      <c r="D182" s="228" t="s">
        <v>1180</v>
      </c>
      <c r="E182" s="228" t="s">
        <v>1181</v>
      </c>
      <c r="F182" s="228" t="s">
        <v>6</v>
      </c>
      <c r="G182" s="228" t="s">
        <v>8</v>
      </c>
      <c r="H182" s="228" t="s">
        <v>113</v>
      </c>
      <c r="I182" s="228" t="s">
        <v>30</v>
      </c>
      <c r="J182" s="228" t="s">
        <v>112</v>
      </c>
      <c r="K182" s="229">
        <v>5</v>
      </c>
      <c r="L182" s="228" t="s">
        <v>112</v>
      </c>
      <c r="M182" s="229">
        <v>5</v>
      </c>
      <c r="N182" s="228" t="s">
        <v>112</v>
      </c>
      <c r="O182" s="229">
        <v>5</v>
      </c>
      <c r="P182" s="228" t="s">
        <v>112</v>
      </c>
      <c r="Q182" s="229">
        <v>5</v>
      </c>
      <c r="R182" s="229" t="s">
        <v>112</v>
      </c>
      <c r="S182" s="229">
        <v>5</v>
      </c>
      <c r="T182" s="229" t="s">
        <v>112</v>
      </c>
      <c r="U182" s="229">
        <v>5</v>
      </c>
      <c r="V182" s="229" t="s">
        <v>112</v>
      </c>
      <c r="W182" s="229">
        <v>5</v>
      </c>
      <c r="X182" s="229" t="s">
        <v>112</v>
      </c>
      <c r="Y182" s="229">
        <v>5</v>
      </c>
      <c r="Z182" s="229" t="s">
        <v>112</v>
      </c>
      <c r="AA182" s="229">
        <v>5</v>
      </c>
      <c r="AB182" s="233" t="s">
        <v>1174</v>
      </c>
    </row>
    <row r="183" spans="2:28">
      <c r="B183" s="83">
        <v>178</v>
      </c>
      <c r="C183" s="263"/>
      <c r="D183" s="228" t="s">
        <v>1182</v>
      </c>
      <c r="E183" s="228" t="s">
        <v>1183</v>
      </c>
      <c r="F183" s="228" t="s">
        <v>6</v>
      </c>
      <c r="G183" s="228" t="s">
        <v>9</v>
      </c>
      <c r="H183" s="228" t="s">
        <v>113</v>
      </c>
      <c r="I183" s="228" t="s">
        <v>30</v>
      </c>
      <c r="J183" s="228" t="s">
        <v>112</v>
      </c>
      <c r="K183" s="229">
        <v>5</v>
      </c>
      <c r="L183" s="228" t="s">
        <v>112</v>
      </c>
      <c r="M183" s="229">
        <v>5</v>
      </c>
      <c r="N183" s="228" t="s">
        <v>112</v>
      </c>
      <c r="O183" s="229">
        <v>5</v>
      </c>
      <c r="P183" s="228" t="s">
        <v>112</v>
      </c>
      <c r="Q183" s="229">
        <v>5</v>
      </c>
      <c r="R183" s="229" t="s">
        <v>112</v>
      </c>
      <c r="S183" s="229">
        <v>5</v>
      </c>
      <c r="T183" s="229" t="s">
        <v>112</v>
      </c>
      <c r="U183" s="229">
        <v>5</v>
      </c>
      <c r="V183" s="229" t="s">
        <v>112</v>
      </c>
      <c r="W183" s="229">
        <v>5</v>
      </c>
      <c r="X183" s="229" t="s">
        <v>112</v>
      </c>
      <c r="Y183" s="229">
        <v>5</v>
      </c>
      <c r="Z183" s="229" t="s">
        <v>112</v>
      </c>
      <c r="AA183" s="229">
        <v>5</v>
      </c>
      <c r="AB183" s="233" t="s">
        <v>950</v>
      </c>
    </row>
    <row r="184" spans="2:28">
      <c r="B184" s="83">
        <v>179</v>
      </c>
      <c r="C184" s="263"/>
      <c r="D184" s="228" t="s">
        <v>1184</v>
      </c>
      <c r="E184" s="228" t="s">
        <v>1185</v>
      </c>
      <c r="F184" s="228" t="s">
        <v>6</v>
      </c>
      <c r="G184" s="228" t="s">
        <v>9</v>
      </c>
      <c r="H184" s="228" t="s">
        <v>26</v>
      </c>
      <c r="I184" s="228" t="s">
        <v>30</v>
      </c>
      <c r="J184" s="228" t="s">
        <v>112</v>
      </c>
      <c r="K184" s="229">
        <v>5</v>
      </c>
      <c r="L184" s="228" t="s">
        <v>112</v>
      </c>
      <c r="M184" s="229">
        <v>5</v>
      </c>
      <c r="N184" s="228" t="s">
        <v>112</v>
      </c>
      <c r="O184" s="229">
        <v>5</v>
      </c>
      <c r="P184" s="228" t="s">
        <v>112</v>
      </c>
      <c r="Q184" s="229">
        <v>5</v>
      </c>
      <c r="R184" s="229" t="s">
        <v>112</v>
      </c>
      <c r="S184" s="229">
        <v>5</v>
      </c>
      <c r="T184" s="229" t="s">
        <v>112</v>
      </c>
      <c r="U184" s="229">
        <v>5</v>
      </c>
      <c r="V184" s="229" t="s">
        <v>112</v>
      </c>
      <c r="W184" s="229">
        <v>5</v>
      </c>
      <c r="X184" s="229" t="s">
        <v>112</v>
      </c>
      <c r="Y184" s="229">
        <v>5</v>
      </c>
      <c r="Z184" s="229" t="s">
        <v>112</v>
      </c>
      <c r="AA184" s="229">
        <v>5</v>
      </c>
      <c r="AB184" s="233" t="s">
        <v>950</v>
      </c>
    </row>
    <row r="185" spans="2:28">
      <c r="B185" s="83">
        <v>180</v>
      </c>
      <c r="C185" s="263"/>
      <c r="D185" s="228" t="s">
        <v>1186</v>
      </c>
      <c r="E185" s="228" t="s">
        <v>1187</v>
      </c>
      <c r="F185" s="228" t="s">
        <v>6</v>
      </c>
      <c r="G185" s="228" t="s">
        <v>9</v>
      </c>
      <c r="H185" s="228" t="s">
        <v>113</v>
      </c>
      <c r="I185" s="228" t="s">
        <v>30</v>
      </c>
      <c r="J185" s="228" t="s">
        <v>112</v>
      </c>
      <c r="K185" s="229">
        <v>5</v>
      </c>
      <c r="L185" s="228" t="s">
        <v>112</v>
      </c>
      <c r="M185" s="229">
        <v>5</v>
      </c>
      <c r="N185" s="228" t="s">
        <v>112</v>
      </c>
      <c r="O185" s="229">
        <v>5</v>
      </c>
      <c r="P185" s="228" t="s">
        <v>112</v>
      </c>
      <c r="Q185" s="229">
        <v>5</v>
      </c>
      <c r="R185" s="229" t="s">
        <v>112</v>
      </c>
      <c r="S185" s="229">
        <v>5</v>
      </c>
      <c r="T185" s="229" t="s">
        <v>112</v>
      </c>
      <c r="U185" s="229">
        <v>5</v>
      </c>
      <c r="V185" s="229" t="s">
        <v>112</v>
      </c>
      <c r="W185" s="229">
        <v>5</v>
      </c>
      <c r="X185" s="229" t="s">
        <v>112</v>
      </c>
      <c r="Y185" s="229">
        <v>5</v>
      </c>
      <c r="Z185" s="229" t="s">
        <v>112</v>
      </c>
      <c r="AA185" s="229">
        <v>5</v>
      </c>
      <c r="AB185" s="233" t="s">
        <v>950</v>
      </c>
    </row>
    <row r="186" spans="2:28">
      <c r="B186" s="83">
        <v>181</v>
      </c>
      <c r="C186" s="263"/>
      <c r="D186" s="228" t="s">
        <v>1188</v>
      </c>
      <c r="E186" s="228" t="s">
        <v>1189</v>
      </c>
      <c r="F186" s="228" t="s">
        <v>6</v>
      </c>
      <c r="G186" s="228" t="s">
        <v>9</v>
      </c>
      <c r="H186" s="228" t="s">
        <v>113</v>
      </c>
      <c r="I186" s="228" t="s">
        <v>30</v>
      </c>
      <c r="J186" s="228" t="s">
        <v>112</v>
      </c>
      <c r="K186" s="229">
        <v>5</v>
      </c>
      <c r="L186" s="228" t="s">
        <v>112</v>
      </c>
      <c r="M186" s="229">
        <v>5</v>
      </c>
      <c r="N186" s="228" t="s">
        <v>112</v>
      </c>
      <c r="O186" s="229">
        <v>5</v>
      </c>
      <c r="P186" s="228" t="s">
        <v>112</v>
      </c>
      <c r="Q186" s="229">
        <v>5</v>
      </c>
      <c r="R186" s="229" t="s">
        <v>112</v>
      </c>
      <c r="S186" s="229">
        <v>5</v>
      </c>
      <c r="T186" s="229" t="s">
        <v>112</v>
      </c>
      <c r="U186" s="229">
        <v>5</v>
      </c>
      <c r="V186" s="229" t="s">
        <v>112</v>
      </c>
      <c r="W186" s="229">
        <v>5</v>
      </c>
      <c r="X186" s="229" t="s">
        <v>112</v>
      </c>
      <c r="Y186" s="229">
        <v>5</v>
      </c>
      <c r="Z186" s="229" t="s">
        <v>112</v>
      </c>
      <c r="AA186" s="229">
        <v>5</v>
      </c>
      <c r="AB186" s="233" t="s">
        <v>1190</v>
      </c>
    </row>
    <row r="187" spans="2:28" ht="16.5" customHeight="1">
      <c r="B187" s="83">
        <v>182</v>
      </c>
      <c r="C187" s="252" t="s">
        <v>1191</v>
      </c>
      <c r="D187" s="228" t="s">
        <v>1192</v>
      </c>
      <c r="E187" s="228" t="s">
        <v>1193</v>
      </c>
      <c r="F187" s="228" t="s">
        <v>5</v>
      </c>
      <c r="G187" s="228" t="s">
        <v>9</v>
      </c>
      <c r="H187" s="228" t="s">
        <v>113</v>
      </c>
      <c r="I187" s="228" t="s">
        <v>32</v>
      </c>
      <c r="J187" s="228" t="s">
        <v>36</v>
      </c>
      <c r="K187" s="229">
        <v>4</v>
      </c>
      <c r="L187" s="228" t="s">
        <v>36</v>
      </c>
      <c r="M187" s="229">
        <v>4</v>
      </c>
      <c r="N187" s="228" t="s">
        <v>36</v>
      </c>
      <c r="O187" s="229">
        <v>4</v>
      </c>
      <c r="P187" s="228" t="s">
        <v>36</v>
      </c>
      <c r="Q187" s="229">
        <v>4</v>
      </c>
      <c r="R187" s="229" t="s">
        <v>36</v>
      </c>
      <c r="S187" s="229">
        <v>4</v>
      </c>
      <c r="T187" s="229" t="s">
        <v>36</v>
      </c>
      <c r="U187" s="229">
        <v>4</v>
      </c>
      <c r="V187" s="229" t="s">
        <v>36</v>
      </c>
      <c r="W187" s="229">
        <v>4</v>
      </c>
      <c r="X187" s="229" t="s">
        <v>36</v>
      </c>
      <c r="Y187" s="229">
        <v>4</v>
      </c>
      <c r="Z187" s="229" t="s">
        <v>36</v>
      </c>
      <c r="AA187" s="229">
        <v>4</v>
      </c>
      <c r="AB187" s="233" t="s">
        <v>1194</v>
      </c>
    </row>
    <row r="188" spans="2:28">
      <c r="B188" s="83">
        <v>183</v>
      </c>
      <c r="C188" s="252"/>
      <c r="D188" s="228" t="s">
        <v>1195</v>
      </c>
      <c r="E188" s="228" t="s">
        <v>1196</v>
      </c>
      <c r="F188" s="228" t="s">
        <v>6</v>
      </c>
      <c r="G188" s="228" t="s">
        <v>13</v>
      </c>
      <c r="H188" s="228" t="s">
        <v>26</v>
      </c>
      <c r="I188" s="228" t="s">
        <v>30</v>
      </c>
      <c r="J188" s="228" t="s">
        <v>112</v>
      </c>
      <c r="K188" s="229">
        <v>5</v>
      </c>
      <c r="L188" s="228" t="s">
        <v>112</v>
      </c>
      <c r="M188" s="229">
        <v>5</v>
      </c>
      <c r="N188" s="228" t="s">
        <v>112</v>
      </c>
      <c r="O188" s="229">
        <v>5</v>
      </c>
      <c r="P188" s="228" t="s">
        <v>112</v>
      </c>
      <c r="Q188" s="229">
        <v>5</v>
      </c>
      <c r="R188" s="229" t="s">
        <v>112</v>
      </c>
      <c r="S188" s="229">
        <v>5</v>
      </c>
      <c r="T188" s="229" t="s">
        <v>112</v>
      </c>
      <c r="U188" s="229">
        <v>5</v>
      </c>
      <c r="V188" s="229" t="s">
        <v>112</v>
      </c>
      <c r="W188" s="229">
        <v>5</v>
      </c>
      <c r="X188" s="229" t="s">
        <v>112</v>
      </c>
      <c r="Y188" s="229">
        <v>5</v>
      </c>
      <c r="Z188" s="229" t="s">
        <v>112</v>
      </c>
      <c r="AA188" s="229">
        <v>5</v>
      </c>
      <c r="AB188" s="233" t="s">
        <v>1197</v>
      </c>
    </row>
    <row r="189" spans="2:28">
      <c r="B189" s="83">
        <v>184</v>
      </c>
      <c r="C189" s="252"/>
      <c r="D189" s="228" t="s">
        <v>1198</v>
      </c>
      <c r="E189" s="228" t="s">
        <v>1199</v>
      </c>
      <c r="F189" s="228" t="s">
        <v>5</v>
      </c>
      <c r="G189" s="228" t="s">
        <v>9</v>
      </c>
      <c r="H189" s="228" t="s">
        <v>113</v>
      </c>
      <c r="I189" s="228" t="s">
        <v>752</v>
      </c>
      <c r="J189" s="228" t="s">
        <v>112</v>
      </c>
      <c r="K189" s="229">
        <v>5</v>
      </c>
      <c r="L189" s="228" t="s">
        <v>112</v>
      </c>
      <c r="M189" s="229">
        <v>5</v>
      </c>
      <c r="N189" s="228" t="s">
        <v>112</v>
      </c>
      <c r="O189" s="229">
        <v>5</v>
      </c>
      <c r="P189" s="228" t="s">
        <v>112</v>
      </c>
      <c r="Q189" s="229">
        <v>5</v>
      </c>
      <c r="R189" s="229" t="s">
        <v>112</v>
      </c>
      <c r="S189" s="229">
        <v>5</v>
      </c>
      <c r="T189" s="229" t="s">
        <v>112</v>
      </c>
      <c r="U189" s="229">
        <v>5</v>
      </c>
      <c r="V189" s="229" t="s">
        <v>112</v>
      </c>
      <c r="W189" s="229">
        <v>5</v>
      </c>
      <c r="X189" s="229" t="s">
        <v>112</v>
      </c>
      <c r="Y189" s="229">
        <v>5</v>
      </c>
      <c r="Z189" s="229" t="s">
        <v>112</v>
      </c>
      <c r="AA189" s="229">
        <v>5</v>
      </c>
      <c r="AB189" s="233"/>
    </row>
    <row r="190" spans="2:28">
      <c r="B190" s="83">
        <v>185</v>
      </c>
      <c r="C190" s="252"/>
      <c r="D190" s="228" t="s">
        <v>1200</v>
      </c>
      <c r="E190" s="228" t="s">
        <v>1201</v>
      </c>
      <c r="F190" s="228" t="s">
        <v>5</v>
      </c>
      <c r="G190" s="228" t="s">
        <v>18</v>
      </c>
      <c r="H190" s="228" t="s">
        <v>26</v>
      </c>
      <c r="I190" s="228" t="s">
        <v>29</v>
      </c>
      <c r="J190" s="228" t="s">
        <v>112</v>
      </c>
      <c r="K190" s="229">
        <v>5</v>
      </c>
      <c r="L190" s="228" t="s">
        <v>112</v>
      </c>
      <c r="M190" s="229">
        <v>5</v>
      </c>
      <c r="N190" s="228" t="s">
        <v>112</v>
      </c>
      <c r="O190" s="229">
        <v>5</v>
      </c>
      <c r="P190" s="228" t="s">
        <v>112</v>
      </c>
      <c r="Q190" s="229">
        <v>5</v>
      </c>
      <c r="R190" s="229" t="s">
        <v>36</v>
      </c>
      <c r="S190" s="229">
        <v>4</v>
      </c>
      <c r="T190" s="229" t="s">
        <v>36</v>
      </c>
      <c r="U190" s="229">
        <v>4</v>
      </c>
      <c r="V190" s="229" t="s">
        <v>36</v>
      </c>
      <c r="W190" s="229">
        <v>4</v>
      </c>
      <c r="X190" s="229" t="s">
        <v>36</v>
      </c>
      <c r="Y190" s="229">
        <v>4</v>
      </c>
      <c r="Z190" s="229" t="s">
        <v>36</v>
      </c>
      <c r="AA190" s="229">
        <v>4</v>
      </c>
      <c r="AB190" s="233" t="s">
        <v>1202</v>
      </c>
    </row>
    <row r="191" spans="2:28">
      <c r="B191" s="83">
        <v>186</v>
      </c>
      <c r="C191" s="252"/>
      <c r="D191" s="228" t="s">
        <v>1203</v>
      </c>
      <c r="E191" s="228" t="s">
        <v>1204</v>
      </c>
      <c r="F191" s="228" t="s">
        <v>6</v>
      </c>
      <c r="G191" s="228" t="s">
        <v>18</v>
      </c>
      <c r="H191" s="228" t="s">
        <v>26</v>
      </c>
      <c r="I191" s="228" t="s">
        <v>29</v>
      </c>
      <c r="J191" s="228" t="s">
        <v>112</v>
      </c>
      <c r="K191" s="229">
        <v>5</v>
      </c>
      <c r="L191" s="228" t="s">
        <v>112</v>
      </c>
      <c r="M191" s="229">
        <v>5</v>
      </c>
      <c r="N191" s="228" t="s">
        <v>112</v>
      </c>
      <c r="O191" s="229">
        <v>5</v>
      </c>
      <c r="P191" s="228" t="s">
        <v>36</v>
      </c>
      <c r="Q191" s="229">
        <v>4</v>
      </c>
      <c r="R191" s="229" t="s">
        <v>36</v>
      </c>
      <c r="S191" s="229">
        <v>4</v>
      </c>
      <c r="T191" s="229" t="s">
        <v>36</v>
      </c>
      <c r="U191" s="229">
        <v>4</v>
      </c>
      <c r="V191" s="229" t="s">
        <v>36</v>
      </c>
      <c r="W191" s="229">
        <v>4</v>
      </c>
      <c r="X191" s="229" t="s">
        <v>36</v>
      </c>
      <c r="Y191" s="229">
        <v>4</v>
      </c>
      <c r="Z191" s="229" t="s">
        <v>112</v>
      </c>
      <c r="AA191" s="229">
        <v>5</v>
      </c>
      <c r="AB191" s="233"/>
    </row>
    <row r="192" spans="2:28">
      <c r="B192" s="83">
        <v>187</v>
      </c>
      <c r="C192" s="252"/>
      <c r="D192" s="228" t="s">
        <v>1205</v>
      </c>
      <c r="E192" s="228" t="s">
        <v>1206</v>
      </c>
      <c r="F192" s="228" t="s">
        <v>6</v>
      </c>
      <c r="G192" s="228" t="s">
        <v>9</v>
      </c>
      <c r="H192" s="228" t="s">
        <v>113</v>
      </c>
      <c r="I192" s="228" t="s">
        <v>30</v>
      </c>
      <c r="J192" s="228" t="s">
        <v>112</v>
      </c>
      <c r="K192" s="229">
        <v>5</v>
      </c>
      <c r="L192" s="228" t="s">
        <v>112</v>
      </c>
      <c r="M192" s="229">
        <v>5</v>
      </c>
      <c r="N192" s="228" t="s">
        <v>36</v>
      </c>
      <c r="O192" s="229">
        <v>4</v>
      </c>
      <c r="P192" s="228" t="s">
        <v>112</v>
      </c>
      <c r="Q192" s="229">
        <v>5</v>
      </c>
      <c r="R192" s="229" t="s">
        <v>36</v>
      </c>
      <c r="S192" s="229">
        <v>4</v>
      </c>
      <c r="T192" s="229" t="s">
        <v>36</v>
      </c>
      <c r="U192" s="229">
        <v>4</v>
      </c>
      <c r="V192" s="229" t="s">
        <v>36</v>
      </c>
      <c r="W192" s="229">
        <v>4</v>
      </c>
      <c r="X192" s="229" t="s">
        <v>36</v>
      </c>
      <c r="Y192" s="229">
        <v>4</v>
      </c>
      <c r="Z192" s="229" t="s">
        <v>36</v>
      </c>
      <c r="AA192" s="229">
        <v>4</v>
      </c>
      <c r="AB192" s="233"/>
    </row>
    <row r="193" spans="2:28">
      <c r="B193" s="83">
        <v>188</v>
      </c>
      <c r="C193" s="252"/>
      <c r="D193" s="228" t="s">
        <v>1207</v>
      </c>
      <c r="E193" s="228" t="s">
        <v>1208</v>
      </c>
      <c r="F193" s="228" t="s">
        <v>6</v>
      </c>
      <c r="G193" s="228" t="s">
        <v>16</v>
      </c>
      <c r="H193" s="228" t="s">
        <v>113</v>
      </c>
      <c r="I193" s="228" t="s">
        <v>30</v>
      </c>
      <c r="J193" s="228" t="s">
        <v>112</v>
      </c>
      <c r="K193" s="229">
        <v>5</v>
      </c>
      <c r="L193" s="228" t="s">
        <v>112</v>
      </c>
      <c r="M193" s="229">
        <v>5</v>
      </c>
      <c r="N193" s="228" t="s">
        <v>112</v>
      </c>
      <c r="O193" s="229">
        <v>5</v>
      </c>
      <c r="P193" s="228" t="s">
        <v>112</v>
      </c>
      <c r="Q193" s="229">
        <v>5</v>
      </c>
      <c r="R193" s="229" t="s">
        <v>112</v>
      </c>
      <c r="S193" s="229">
        <v>5</v>
      </c>
      <c r="T193" s="229" t="s">
        <v>112</v>
      </c>
      <c r="U193" s="229">
        <v>5</v>
      </c>
      <c r="V193" s="229" t="s">
        <v>112</v>
      </c>
      <c r="W193" s="229">
        <v>5</v>
      </c>
      <c r="X193" s="229" t="s">
        <v>112</v>
      </c>
      <c r="Y193" s="229">
        <v>5</v>
      </c>
      <c r="Z193" s="229" t="s">
        <v>112</v>
      </c>
      <c r="AA193" s="229">
        <v>5</v>
      </c>
      <c r="AB193" s="233" t="s">
        <v>1209</v>
      </c>
    </row>
    <row r="194" spans="2:28">
      <c r="B194" s="83">
        <v>189</v>
      </c>
      <c r="C194" s="252"/>
      <c r="D194" s="228" t="s">
        <v>1210</v>
      </c>
      <c r="E194" s="228" t="s">
        <v>1211</v>
      </c>
      <c r="F194" s="228" t="s">
        <v>6</v>
      </c>
      <c r="G194" s="228" t="s">
        <v>9</v>
      </c>
      <c r="H194" s="228" t="s">
        <v>113</v>
      </c>
      <c r="I194" s="228" t="s">
        <v>30</v>
      </c>
      <c r="J194" s="228" t="s">
        <v>36</v>
      </c>
      <c r="K194" s="229">
        <v>4</v>
      </c>
      <c r="L194" s="228" t="s">
        <v>36</v>
      </c>
      <c r="M194" s="229">
        <v>4</v>
      </c>
      <c r="N194" s="228" t="s">
        <v>36</v>
      </c>
      <c r="O194" s="229">
        <v>4</v>
      </c>
      <c r="P194" s="228" t="s">
        <v>36</v>
      </c>
      <c r="Q194" s="229">
        <v>4</v>
      </c>
      <c r="R194" s="229" t="s">
        <v>35</v>
      </c>
      <c r="S194" s="229">
        <v>3</v>
      </c>
      <c r="T194" s="229" t="s">
        <v>35</v>
      </c>
      <c r="U194" s="229">
        <v>3</v>
      </c>
      <c r="V194" s="229" t="s">
        <v>35</v>
      </c>
      <c r="W194" s="229">
        <v>3</v>
      </c>
      <c r="X194" s="229" t="s">
        <v>35</v>
      </c>
      <c r="Y194" s="229">
        <v>3</v>
      </c>
      <c r="Z194" s="229" t="s">
        <v>35</v>
      </c>
      <c r="AA194" s="229">
        <v>3</v>
      </c>
      <c r="AB194" s="233" t="s">
        <v>1212</v>
      </c>
    </row>
    <row r="195" spans="2:28">
      <c r="B195" s="83">
        <v>190</v>
      </c>
      <c r="C195" s="252" t="s">
        <v>144</v>
      </c>
      <c r="D195" s="228" t="s">
        <v>1213</v>
      </c>
      <c r="E195" s="228" t="s">
        <v>1214</v>
      </c>
      <c r="F195" s="228" t="s">
        <v>6</v>
      </c>
      <c r="G195" s="228" t="s">
        <v>15</v>
      </c>
      <c r="H195" s="228" t="s">
        <v>26</v>
      </c>
      <c r="I195" s="228" t="s">
        <v>30</v>
      </c>
      <c r="J195" s="228" t="s">
        <v>112</v>
      </c>
      <c r="K195" s="229">
        <v>5</v>
      </c>
      <c r="L195" s="228" t="s">
        <v>112</v>
      </c>
      <c r="M195" s="229">
        <v>5</v>
      </c>
      <c r="N195" s="228" t="s">
        <v>112</v>
      </c>
      <c r="O195" s="229">
        <v>5</v>
      </c>
      <c r="P195" s="228" t="s">
        <v>36</v>
      </c>
      <c r="Q195" s="229">
        <v>4</v>
      </c>
      <c r="R195" s="229" t="s">
        <v>36</v>
      </c>
      <c r="S195" s="229">
        <v>4</v>
      </c>
      <c r="T195" s="229" t="s">
        <v>36</v>
      </c>
      <c r="U195" s="229">
        <v>4</v>
      </c>
      <c r="V195" s="229" t="s">
        <v>112</v>
      </c>
      <c r="W195" s="229">
        <v>5</v>
      </c>
      <c r="X195" s="229" t="s">
        <v>112</v>
      </c>
      <c r="Y195" s="229">
        <v>5</v>
      </c>
      <c r="Z195" s="229" t="s">
        <v>112</v>
      </c>
      <c r="AA195" s="229">
        <v>5</v>
      </c>
      <c r="AB195" s="233" t="s">
        <v>1215</v>
      </c>
    </row>
    <row r="196" spans="2:28">
      <c r="B196" s="83">
        <v>191</v>
      </c>
      <c r="C196" s="252"/>
      <c r="D196" s="228" t="s">
        <v>1216</v>
      </c>
      <c r="E196" s="228" t="s">
        <v>1217</v>
      </c>
      <c r="F196" s="228" t="s">
        <v>6</v>
      </c>
      <c r="G196" s="228" t="s">
        <v>18</v>
      </c>
      <c r="H196" s="228" t="s">
        <v>26</v>
      </c>
      <c r="I196" s="228" t="s">
        <v>30</v>
      </c>
      <c r="J196" s="228" t="s">
        <v>112</v>
      </c>
      <c r="K196" s="229">
        <v>5</v>
      </c>
      <c r="L196" s="228" t="s">
        <v>112</v>
      </c>
      <c r="M196" s="229">
        <v>5</v>
      </c>
      <c r="N196" s="228" t="s">
        <v>112</v>
      </c>
      <c r="O196" s="229">
        <v>5</v>
      </c>
      <c r="P196" s="228" t="s">
        <v>112</v>
      </c>
      <c r="Q196" s="229">
        <v>5</v>
      </c>
      <c r="R196" s="229" t="s">
        <v>112</v>
      </c>
      <c r="S196" s="229">
        <v>5</v>
      </c>
      <c r="T196" s="229" t="s">
        <v>112</v>
      </c>
      <c r="U196" s="229">
        <v>5</v>
      </c>
      <c r="V196" s="229" t="s">
        <v>112</v>
      </c>
      <c r="W196" s="229">
        <v>5</v>
      </c>
      <c r="X196" s="229" t="s">
        <v>112</v>
      </c>
      <c r="Y196" s="229">
        <v>5</v>
      </c>
      <c r="Z196" s="229" t="s">
        <v>112</v>
      </c>
      <c r="AA196" s="229">
        <v>5</v>
      </c>
      <c r="AB196" s="233"/>
    </row>
    <row r="197" spans="2:28">
      <c r="B197" s="83">
        <v>192</v>
      </c>
      <c r="C197" s="252"/>
      <c r="D197" s="228" t="s">
        <v>1218</v>
      </c>
      <c r="E197" s="228" t="s">
        <v>1219</v>
      </c>
      <c r="F197" s="228" t="s">
        <v>5</v>
      </c>
      <c r="G197" s="228" t="s">
        <v>9</v>
      </c>
      <c r="H197" s="228" t="s">
        <v>113</v>
      </c>
      <c r="I197" s="228" t="s">
        <v>32</v>
      </c>
      <c r="J197" s="228" t="s">
        <v>36</v>
      </c>
      <c r="K197" s="229">
        <v>4</v>
      </c>
      <c r="L197" s="228" t="s">
        <v>36</v>
      </c>
      <c r="M197" s="229">
        <v>4</v>
      </c>
      <c r="N197" s="228" t="s">
        <v>36</v>
      </c>
      <c r="O197" s="229">
        <v>4</v>
      </c>
      <c r="P197" s="228" t="s">
        <v>36</v>
      </c>
      <c r="Q197" s="229">
        <v>4</v>
      </c>
      <c r="R197" s="229" t="s">
        <v>112</v>
      </c>
      <c r="S197" s="229">
        <v>5</v>
      </c>
      <c r="T197" s="229" t="s">
        <v>112</v>
      </c>
      <c r="U197" s="229">
        <v>5</v>
      </c>
      <c r="V197" s="229" t="s">
        <v>36</v>
      </c>
      <c r="W197" s="229">
        <v>4</v>
      </c>
      <c r="X197" s="229" t="s">
        <v>36</v>
      </c>
      <c r="Y197" s="229">
        <v>4</v>
      </c>
      <c r="Z197" s="229" t="s">
        <v>36</v>
      </c>
      <c r="AA197" s="229">
        <v>4</v>
      </c>
      <c r="AB197" s="233" t="s">
        <v>1220</v>
      </c>
    </row>
    <row r="198" spans="2:28">
      <c r="B198" s="83">
        <v>193</v>
      </c>
      <c r="C198" s="252"/>
      <c r="D198" s="228" t="s">
        <v>1221</v>
      </c>
      <c r="E198" s="228" t="s">
        <v>1222</v>
      </c>
      <c r="F198" s="228" t="s">
        <v>6</v>
      </c>
      <c r="G198" s="228" t="s">
        <v>9</v>
      </c>
      <c r="H198" s="228" t="s">
        <v>113</v>
      </c>
      <c r="I198" s="228" t="s">
        <v>30</v>
      </c>
      <c r="J198" s="228" t="s">
        <v>112</v>
      </c>
      <c r="K198" s="229">
        <v>5</v>
      </c>
      <c r="L198" s="228" t="s">
        <v>112</v>
      </c>
      <c r="M198" s="229">
        <v>5</v>
      </c>
      <c r="N198" s="228" t="s">
        <v>112</v>
      </c>
      <c r="O198" s="229">
        <v>5</v>
      </c>
      <c r="P198" s="228" t="s">
        <v>112</v>
      </c>
      <c r="Q198" s="229">
        <v>5</v>
      </c>
      <c r="R198" s="229" t="s">
        <v>112</v>
      </c>
      <c r="S198" s="229">
        <v>5</v>
      </c>
      <c r="T198" s="229" t="s">
        <v>112</v>
      </c>
      <c r="U198" s="229">
        <v>5</v>
      </c>
      <c r="V198" s="229" t="s">
        <v>112</v>
      </c>
      <c r="W198" s="229">
        <v>5</v>
      </c>
      <c r="X198" s="229" t="s">
        <v>112</v>
      </c>
      <c r="Y198" s="229">
        <v>5</v>
      </c>
      <c r="Z198" s="229" t="s">
        <v>112</v>
      </c>
      <c r="AA198" s="229">
        <v>5</v>
      </c>
      <c r="AB198" s="233" t="s">
        <v>1223</v>
      </c>
    </row>
    <row r="199" spans="2:28">
      <c r="B199" s="83">
        <v>194</v>
      </c>
      <c r="C199" s="252"/>
      <c r="D199" s="228" t="s">
        <v>1224</v>
      </c>
      <c r="E199" s="228" t="s">
        <v>1225</v>
      </c>
      <c r="F199" s="228" t="s">
        <v>5</v>
      </c>
      <c r="G199" s="228" t="s">
        <v>16</v>
      </c>
      <c r="H199" s="228" t="s">
        <v>26</v>
      </c>
      <c r="I199" s="228" t="s">
        <v>32</v>
      </c>
      <c r="J199" s="228" t="s">
        <v>112</v>
      </c>
      <c r="K199" s="229">
        <v>5</v>
      </c>
      <c r="L199" s="228" t="s">
        <v>112</v>
      </c>
      <c r="M199" s="229">
        <v>5</v>
      </c>
      <c r="N199" s="228" t="s">
        <v>112</v>
      </c>
      <c r="O199" s="229">
        <v>5</v>
      </c>
      <c r="P199" s="228" t="s">
        <v>112</v>
      </c>
      <c r="Q199" s="229">
        <v>5</v>
      </c>
      <c r="R199" s="229" t="s">
        <v>112</v>
      </c>
      <c r="S199" s="229">
        <v>5</v>
      </c>
      <c r="T199" s="229" t="s">
        <v>112</v>
      </c>
      <c r="U199" s="229">
        <v>5</v>
      </c>
      <c r="V199" s="229" t="s">
        <v>112</v>
      </c>
      <c r="W199" s="229">
        <v>5</v>
      </c>
      <c r="X199" s="229" t="s">
        <v>36</v>
      </c>
      <c r="Y199" s="229">
        <v>4</v>
      </c>
      <c r="Z199" s="229" t="s">
        <v>112</v>
      </c>
      <c r="AA199" s="229">
        <v>5</v>
      </c>
      <c r="AB199" s="233" t="s">
        <v>1226</v>
      </c>
    </row>
    <row r="200" spans="2:28">
      <c r="B200" s="83">
        <v>195</v>
      </c>
      <c r="C200" s="252"/>
      <c r="D200" s="228" t="s">
        <v>1227</v>
      </c>
      <c r="E200" s="228" t="s">
        <v>1228</v>
      </c>
      <c r="F200" s="228" t="s">
        <v>6</v>
      </c>
      <c r="G200" s="228" t="s">
        <v>9</v>
      </c>
      <c r="H200" s="228" t="s">
        <v>26</v>
      </c>
      <c r="I200" s="228" t="s">
        <v>30</v>
      </c>
      <c r="J200" s="228" t="s">
        <v>112</v>
      </c>
      <c r="K200" s="229">
        <v>5</v>
      </c>
      <c r="L200" s="228" t="s">
        <v>112</v>
      </c>
      <c r="M200" s="229">
        <v>5</v>
      </c>
      <c r="N200" s="228" t="s">
        <v>112</v>
      </c>
      <c r="O200" s="229">
        <v>5</v>
      </c>
      <c r="P200" s="228" t="s">
        <v>112</v>
      </c>
      <c r="Q200" s="229">
        <v>5</v>
      </c>
      <c r="R200" s="229" t="s">
        <v>112</v>
      </c>
      <c r="S200" s="229">
        <v>5</v>
      </c>
      <c r="T200" s="229" t="s">
        <v>112</v>
      </c>
      <c r="U200" s="229">
        <v>5</v>
      </c>
      <c r="V200" s="229" t="s">
        <v>112</v>
      </c>
      <c r="W200" s="229">
        <v>5</v>
      </c>
      <c r="X200" s="229" t="s">
        <v>112</v>
      </c>
      <c r="Y200" s="229">
        <v>5</v>
      </c>
      <c r="Z200" s="229" t="s">
        <v>112</v>
      </c>
      <c r="AA200" s="229">
        <v>5</v>
      </c>
      <c r="AB200" s="233" t="s">
        <v>1229</v>
      </c>
    </row>
    <row r="201" spans="2:28">
      <c r="B201" s="83">
        <v>196</v>
      </c>
      <c r="C201" s="252"/>
      <c r="D201" s="228" t="s">
        <v>1230</v>
      </c>
      <c r="E201" s="228" t="s">
        <v>1231</v>
      </c>
      <c r="F201" s="228" t="s">
        <v>6</v>
      </c>
      <c r="G201" s="228" t="s">
        <v>9</v>
      </c>
      <c r="H201" s="228" t="s">
        <v>26</v>
      </c>
      <c r="I201" s="228" t="s">
        <v>32</v>
      </c>
      <c r="J201" s="228" t="s">
        <v>112</v>
      </c>
      <c r="K201" s="229">
        <v>5</v>
      </c>
      <c r="L201" s="228" t="s">
        <v>112</v>
      </c>
      <c r="M201" s="229">
        <v>5</v>
      </c>
      <c r="N201" s="228" t="s">
        <v>112</v>
      </c>
      <c r="O201" s="229">
        <v>5</v>
      </c>
      <c r="P201" s="228" t="s">
        <v>112</v>
      </c>
      <c r="Q201" s="229">
        <v>5</v>
      </c>
      <c r="R201" s="229" t="s">
        <v>112</v>
      </c>
      <c r="S201" s="229">
        <v>5</v>
      </c>
      <c r="T201" s="229" t="s">
        <v>112</v>
      </c>
      <c r="U201" s="229">
        <v>5</v>
      </c>
      <c r="V201" s="229" t="s">
        <v>112</v>
      </c>
      <c r="W201" s="229">
        <v>5</v>
      </c>
      <c r="X201" s="229" t="s">
        <v>112</v>
      </c>
      <c r="Y201" s="229">
        <v>5</v>
      </c>
      <c r="Z201" s="229" t="s">
        <v>112</v>
      </c>
      <c r="AA201" s="229">
        <v>5</v>
      </c>
      <c r="AB201" s="233" t="s">
        <v>1232</v>
      </c>
    </row>
    <row r="202" spans="2:28">
      <c r="B202" s="83">
        <v>197</v>
      </c>
      <c r="C202" s="252"/>
      <c r="D202" s="228" t="s">
        <v>1233</v>
      </c>
      <c r="E202" s="228" t="s">
        <v>1234</v>
      </c>
      <c r="F202" s="228" t="s">
        <v>5</v>
      </c>
      <c r="G202" s="228" t="s">
        <v>9</v>
      </c>
      <c r="H202" s="228" t="s">
        <v>113</v>
      </c>
      <c r="I202" s="228" t="s">
        <v>32</v>
      </c>
      <c r="J202" s="228" t="s">
        <v>112</v>
      </c>
      <c r="K202" s="229">
        <v>5</v>
      </c>
      <c r="L202" s="228" t="s">
        <v>112</v>
      </c>
      <c r="M202" s="229">
        <v>5</v>
      </c>
      <c r="N202" s="228" t="s">
        <v>112</v>
      </c>
      <c r="O202" s="229">
        <v>5</v>
      </c>
      <c r="P202" s="228" t="s">
        <v>112</v>
      </c>
      <c r="Q202" s="229">
        <v>5</v>
      </c>
      <c r="R202" s="229" t="s">
        <v>36</v>
      </c>
      <c r="S202" s="229">
        <v>4</v>
      </c>
      <c r="T202" s="229" t="s">
        <v>112</v>
      </c>
      <c r="U202" s="229">
        <v>5</v>
      </c>
      <c r="V202" s="229" t="s">
        <v>112</v>
      </c>
      <c r="W202" s="229">
        <v>5</v>
      </c>
      <c r="X202" s="229" t="s">
        <v>112</v>
      </c>
      <c r="Y202" s="229">
        <v>5</v>
      </c>
      <c r="Z202" s="229" t="s">
        <v>112</v>
      </c>
      <c r="AA202" s="229">
        <v>5</v>
      </c>
      <c r="AB202" s="233" t="s">
        <v>1235</v>
      </c>
    </row>
    <row r="203" spans="2:28">
      <c r="B203" s="83">
        <v>198</v>
      </c>
      <c r="C203" s="252"/>
      <c r="D203" s="228" t="s">
        <v>1236</v>
      </c>
      <c r="E203" s="228" t="s">
        <v>1237</v>
      </c>
      <c r="F203" s="228" t="s">
        <v>5</v>
      </c>
      <c r="G203" s="228" t="s">
        <v>17</v>
      </c>
      <c r="H203" s="228" t="s">
        <v>113</v>
      </c>
      <c r="I203" s="228" t="s">
        <v>29</v>
      </c>
      <c r="J203" s="228" t="s">
        <v>112</v>
      </c>
      <c r="K203" s="229">
        <v>5</v>
      </c>
      <c r="L203" s="228" t="s">
        <v>112</v>
      </c>
      <c r="M203" s="229">
        <v>5</v>
      </c>
      <c r="N203" s="228" t="s">
        <v>112</v>
      </c>
      <c r="O203" s="229">
        <v>5</v>
      </c>
      <c r="P203" s="228" t="s">
        <v>112</v>
      </c>
      <c r="Q203" s="229">
        <v>5</v>
      </c>
      <c r="R203" s="229" t="s">
        <v>112</v>
      </c>
      <c r="S203" s="229">
        <v>5</v>
      </c>
      <c r="T203" s="229" t="s">
        <v>112</v>
      </c>
      <c r="U203" s="229">
        <v>5</v>
      </c>
      <c r="V203" s="229" t="s">
        <v>112</v>
      </c>
      <c r="W203" s="229">
        <v>5</v>
      </c>
      <c r="X203" s="229" t="s">
        <v>36</v>
      </c>
      <c r="Y203" s="229">
        <v>4</v>
      </c>
      <c r="Z203" s="229" t="s">
        <v>36</v>
      </c>
      <c r="AA203" s="229">
        <v>4</v>
      </c>
      <c r="AB203" s="233"/>
    </row>
    <row r="204" spans="2:28">
      <c r="B204" s="83">
        <v>199</v>
      </c>
      <c r="C204" s="252"/>
      <c r="D204" s="228" t="s">
        <v>1238</v>
      </c>
      <c r="E204" s="228" t="s">
        <v>1239</v>
      </c>
      <c r="F204" s="228" t="s">
        <v>5</v>
      </c>
      <c r="G204" s="228" t="s">
        <v>18</v>
      </c>
      <c r="H204" s="228" t="s">
        <v>113</v>
      </c>
      <c r="I204" s="228" t="s">
        <v>32</v>
      </c>
      <c r="J204" s="228" t="s">
        <v>112</v>
      </c>
      <c r="K204" s="229">
        <v>5</v>
      </c>
      <c r="L204" s="228" t="s">
        <v>112</v>
      </c>
      <c r="M204" s="229">
        <v>5</v>
      </c>
      <c r="N204" s="228" t="s">
        <v>36</v>
      </c>
      <c r="O204" s="229">
        <v>4</v>
      </c>
      <c r="P204" s="228" t="s">
        <v>112</v>
      </c>
      <c r="Q204" s="229">
        <v>5</v>
      </c>
      <c r="R204" s="229" t="s">
        <v>112</v>
      </c>
      <c r="S204" s="229">
        <v>5</v>
      </c>
      <c r="T204" s="229" t="s">
        <v>36</v>
      </c>
      <c r="U204" s="229">
        <v>4</v>
      </c>
      <c r="V204" s="229" t="s">
        <v>36</v>
      </c>
      <c r="W204" s="229">
        <v>4</v>
      </c>
      <c r="X204" s="229" t="s">
        <v>112</v>
      </c>
      <c r="Y204" s="229">
        <v>5</v>
      </c>
      <c r="Z204" s="229" t="s">
        <v>112</v>
      </c>
      <c r="AA204" s="229">
        <v>5</v>
      </c>
      <c r="AB204" s="233"/>
    </row>
    <row r="205" spans="2:28">
      <c r="B205" s="83">
        <v>200</v>
      </c>
      <c r="C205" s="252"/>
      <c r="D205" s="228" t="s">
        <v>1240</v>
      </c>
      <c r="E205" s="228" t="s">
        <v>1241</v>
      </c>
      <c r="F205" s="228" t="s">
        <v>6</v>
      </c>
      <c r="G205" s="228" t="s">
        <v>9</v>
      </c>
      <c r="H205" s="228" t="s">
        <v>113</v>
      </c>
      <c r="I205" s="228" t="s">
        <v>30</v>
      </c>
      <c r="J205" s="228" t="s">
        <v>112</v>
      </c>
      <c r="K205" s="229">
        <v>5</v>
      </c>
      <c r="L205" s="228" t="s">
        <v>112</v>
      </c>
      <c r="M205" s="229">
        <v>5</v>
      </c>
      <c r="N205" s="228" t="s">
        <v>112</v>
      </c>
      <c r="O205" s="229">
        <v>5</v>
      </c>
      <c r="P205" s="228" t="s">
        <v>112</v>
      </c>
      <c r="Q205" s="229">
        <v>5</v>
      </c>
      <c r="R205" s="229" t="s">
        <v>112</v>
      </c>
      <c r="S205" s="229">
        <v>5</v>
      </c>
      <c r="T205" s="229" t="s">
        <v>112</v>
      </c>
      <c r="U205" s="229">
        <v>5</v>
      </c>
      <c r="V205" s="229" t="s">
        <v>112</v>
      </c>
      <c r="W205" s="229">
        <v>5</v>
      </c>
      <c r="X205" s="229" t="s">
        <v>112</v>
      </c>
      <c r="Y205" s="229">
        <v>5</v>
      </c>
      <c r="Z205" s="229" t="s">
        <v>112</v>
      </c>
      <c r="AA205" s="229">
        <v>5</v>
      </c>
      <c r="AB205" s="233" t="s">
        <v>1242</v>
      </c>
    </row>
    <row r="206" spans="2:28" ht="17.25" thickBot="1">
      <c r="B206" s="84">
        <v>201</v>
      </c>
      <c r="C206" s="253"/>
      <c r="D206" s="234" t="s">
        <v>1243</v>
      </c>
      <c r="E206" s="234" t="s">
        <v>1244</v>
      </c>
      <c r="F206" s="234" t="s">
        <v>5</v>
      </c>
      <c r="G206" s="234" t="s">
        <v>9</v>
      </c>
      <c r="H206" s="234" t="s">
        <v>113</v>
      </c>
      <c r="I206" s="234" t="s">
        <v>32</v>
      </c>
      <c r="J206" s="234" t="s">
        <v>112</v>
      </c>
      <c r="K206" s="235">
        <v>5</v>
      </c>
      <c r="L206" s="234" t="s">
        <v>36</v>
      </c>
      <c r="M206" s="235">
        <v>4</v>
      </c>
      <c r="N206" s="234" t="s">
        <v>112</v>
      </c>
      <c r="O206" s="235">
        <v>5</v>
      </c>
      <c r="P206" s="234" t="s">
        <v>36</v>
      </c>
      <c r="Q206" s="235">
        <v>4</v>
      </c>
      <c r="R206" s="235" t="s">
        <v>36</v>
      </c>
      <c r="S206" s="235">
        <v>4</v>
      </c>
      <c r="T206" s="235" t="s">
        <v>36</v>
      </c>
      <c r="U206" s="235">
        <v>4</v>
      </c>
      <c r="V206" s="235" t="s">
        <v>36</v>
      </c>
      <c r="W206" s="235">
        <v>4</v>
      </c>
      <c r="X206" s="235" t="s">
        <v>112</v>
      </c>
      <c r="Y206" s="235">
        <v>5</v>
      </c>
      <c r="Z206" s="235" t="s">
        <v>112</v>
      </c>
      <c r="AA206" s="235">
        <v>5</v>
      </c>
      <c r="AB206" s="236" t="s">
        <v>1245</v>
      </c>
    </row>
  </sheetData>
  <mergeCells count="17">
    <mergeCell ref="C142:C161"/>
    <mergeCell ref="C162:C175"/>
    <mergeCell ref="C176:C186"/>
    <mergeCell ref="C187:C194"/>
    <mergeCell ref="C195:C206"/>
    <mergeCell ref="C130:C141"/>
    <mergeCell ref="B1:I1"/>
    <mergeCell ref="C6:C10"/>
    <mergeCell ref="C11:C16"/>
    <mergeCell ref="C17:C28"/>
    <mergeCell ref="C29:C43"/>
    <mergeCell ref="C44:C53"/>
    <mergeCell ref="C54:C75"/>
    <mergeCell ref="C76:C84"/>
    <mergeCell ref="C85:C96"/>
    <mergeCell ref="C97:C108"/>
    <mergeCell ref="C109:C129"/>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Pages>7</Pages>
  <Words>0</Words>
  <Characters>0</Characters>
  <Application>Microsoft Excel</Application>
  <DocSecurity>0</DocSecurity>
  <Lines>0</Lines>
  <Paragraphs>0</Paragraphs>
  <MMClips>0</MMClips>
  <ScaleCrop>false</ScaleCrop>
  <HeadingPairs>
    <vt:vector size="2" baseType="variant">
      <vt:variant>
        <vt:lpstr>워크시트</vt:lpstr>
      </vt:variant>
      <vt:variant>
        <vt:i4>7</vt:i4>
      </vt:variant>
    </vt:vector>
  </HeadingPairs>
  <TitlesOfParts>
    <vt:vector size="7" baseType="lpstr">
      <vt:lpstr>1. 만족도</vt:lpstr>
      <vt:lpstr>응답자 특성</vt:lpstr>
      <vt:lpstr>객관식</vt:lpstr>
      <vt:lpstr>주관식(좋았던 점 및 개선할점)</vt:lpstr>
      <vt:lpstr>2. 출석률 </vt:lpstr>
      <vt:lpstr>개인별 출석현황</vt:lpstr>
      <vt:lpstr>3. 원본데이터</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revision>3</cp:revision>
  <cp:lastPrinted>2025-04-15T04:42:34Z</cp:lastPrinted>
  <dcterms:created xsi:type="dcterms:W3CDTF">2022-05-01T04:41:28Z</dcterms:created>
  <dcterms:modified xsi:type="dcterms:W3CDTF">2026-06-02T02:35:41Z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eyJub2RlMSI6eyJkc2QiOiIwMTAwMDAwMDAwMDAzMDEyIiwibG9nVGltZSI6IjIwMjUtMDctMTZUMDY6NTg6NTNaIiwicElEIjoiMiIsInRyYWNlSWQiOiJENEE2NTU4OEU5OEMzOEQ0MzUwRDNEQ0FFMkE3OEU3NCIsInVzZXJDb2RlIjoid2xzZ29kbXMifSwibm9kZTIiOnsiZHNkIjoiMDEwMDAwMDAwMDAwMzAxMiIsImxvZ1RpbWUiOiI</vt:lpwstr>
  </property>
</Properties>
</file>